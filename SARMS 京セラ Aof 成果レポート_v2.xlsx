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3895" windowHeight="10815" activeTab="1"/>
  </bookViews>
  <sheets>
    <sheet name="評価レポート" sheetId="1" r:id="rId1"/>
    <sheet name="改修詳細" sheetId="2" r:id="rId2"/>
  </sheets>
  <definedNames>
    <definedName name="category_ids">#REF!</definedName>
  </definedNames>
  <calcPr calcId="144525" concurrentCalc="0"/>
</workbook>
</file>

<file path=xl/sharedStrings.xml><?xml version="1.0" encoding="utf-8"?>
<sst xmlns="http://schemas.openxmlformats.org/spreadsheetml/2006/main" count="222">
  <si>
    <t>SARMS 京セラ Aof 成果レポート</t>
  </si>
  <si>
    <t>メンバー情報</t>
  </si>
  <si>
    <t>氏名</t>
  </si>
  <si>
    <t>Ponpich (Aof)</t>
  </si>
  <si>
    <t>加入</t>
  </si>
  <si>
    <t>2016/05/03 ~</t>
  </si>
  <si>
    <t>ポジション</t>
  </si>
  <si>
    <t>プログラマー</t>
  </si>
  <si>
    <t>成果概要</t>
  </si>
  <si>
    <t>プロジェクト名</t>
  </si>
  <si>
    <t>SARMS 京セラ</t>
  </si>
  <si>
    <t>改修件数</t>
  </si>
  <si>
    <t>31件</t>
  </si>
  <si>
    <t>差し戻し件数</t>
  </si>
  <si>
    <t>7件</t>
  </si>
  <si>
    <t>- 仕様とは異なる条件になっていた</t>
  </si>
  <si>
    <t>- バリデーションが正常に修正されていなかった</t>
  </si>
  <si>
    <t>- スペースが揃っていない</t>
  </si>
  <si>
    <t>- SQLエラーが表示されていた</t>
  </si>
  <si>
    <t>- Functionを使用するようにリファクタリングしたため</t>
  </si>
  <si>
    <t>SARMS スキルカバレッジ</t>
  </si>
  <si>
    <t>カテゴリ</t>
  </si>
  <si>
    <t>詳細</t>
  </si>
  <si>
    <t>カテゴリID</t>
  </si>
  <si>
    <t>件数</t>
  </si>
  <si>
    <t>フリーテキスト（エンジニア）</t>
  </si>
  <si>
    <t>フリーテキスト（マネージャー）</t>
  </si>
  <si>
    <t>ハードウェア台帳</t>
  </si>
  <si>
    <t>一覧</t>
  </si>
  <si>
    <t>Hl</t>
  </si>
  <si>
    <t>コードに対するにコメントが多い。</t>
  </si>
  <si>
    <t>新規登録</t>
  </si>
  <si>
    <t>Hn</t>
  </si>
  <si>
    <t>構造が複雑。</t>
  </si>
  <si>
    <t>更新</t>
  </si>
  <si>
    <t>He</t>
  </si>
  <si>
    <t>最初は構造に混乱したが理解できた。</t>
  </si>
  <si>
    <t>保守</t>
  </si>
  <si>
    <t>ARMSに入社して最初に携わったコードだから思いれが深い。</t>
  </si>
  <si>
    <t>ARMSに入社する前に比べると格段にコーディング力が上昇したと思う</t>
  </si>
  <si>
    <t>削除</t>
  </si>
  <si>
    <t>Hd</t>
  </si>
  <si>
    <t>最初はDAOの改修で躓いたが今ではとても良い機能だと思う</t>
  </si>
  <si>
    <t>DAOの改修は入社早々で大変だったと思う、それにしたらよくSQLエラーも起きずに機能しているし素晴らしい</t>
  </si>
  <si>
    <t>バリデーション</t>
  </si>
  <si>
    <t>Hv</t>
  </si>
  <si>
    <t>コメントが多すぎて読みづらかった</t>
  </si>
  <si>
    <t>ソフトウェア台帳</t>
  </si>
  <si>
    <t>Sl</t>
  </si>
  <si>
    <t>-</t>
  </si>
  <si>
    <t>Sn</t>
  </si>
  <si>
    <t>読みやすくするためにコメントを減らす必要がありそう</t>
  </si>
  <si>
    <t>Se</t>
  </si>
  <si>
    <t>Sd</t>
  </si>
  <si>
    <t>Sv</t>
  </si>
  <si>
    <t>ライセンス台帳</t>
  </si>
  <si>
    <t>Ll</t>
  </si>
  <si>
    <t>コードが読みやすい</t>
  </si>
  <si>
    <t>Ln</t>
  </si>
  <si>
    <t>Le</t>
  </si>
  <si>
    <t>Ld</t>
  </si>
  <si>
    <t>DAOのおかげでコードが書きやすい</t>
  </si>
  <si>
    <t>Lv</t>
  </si>
  <si>
    <t>ライセンス辞書</t>
  </si>
  <si>
    <t>LDl</t>
  </si>
  <si>
    <t>理解するのは難しくない</t>
  </si>
  <si>
    <t>LDn</t>
  </si>
  <si>
    <t>コードが読みやすく理解しやすい</t>
  </si>
  <si>
    <t>LDu</t>
  </si>
  <si>
    <t>LDe</t>
  </si>
  <si>
    <t>潔い、理解しやすい</t>
  </si>
  <si>
    <t>LDd</t>
  </si>
  <si>
    <t>LDv</t>
  </si>
  <si>
    <t>メール送信</t>
  </si>
  <si>
    <t>LDm</t>
  </si>
  <si>
    <t>収集情報</t>
  </si>
  <si>
    <t>INVn</t>
  </si>
  <si>
    <t>かなり難しく理解できなかった</t>
  </si>
  <si>
    <t>次から先輩に話を聞くなどしてよく理解してから改修するように心がけよう</t>
  </si>
  <si>
    <t>INVu</t>
  </si>
  <si>
    <t>INVd</t>
  </si>
  <si>
    <t>インポート</t>
  </si>
  <si>
    <t>IMPh</t>
  </si>
  <si>
    <t>IMPs</t>
  </si>
  <si>
    <t>IMPl</t>
  </si>
  <si>
    <t>色々なテーブルとjoin しているのでCSVヘッダーが多い。</t>
  </si>
  <si>
    <t>IMPld</t>
  </si>
  <si>
    <t>ライセンス台帳インポートよりは簡単</t>
  </si>
  <si>
    <t>ライセンス辞書プログラム</t>
  </si>
  <si>
    <t>IMPlp</t>
  </si>
  <si>
    <t>ライセンス辞書ダウングードプログラム</t>
  </si>
  <si>
    <t>IMPlpd</t>
  </si>
  <si>
    <t>プログラム</t>
  </si>
  <si>
    <t>IMPp</t>
  </si>
  <si>
    <t>ユーザ</t>
  </si>
  <si>
    <t>IMPu</t>
  </si>
  <si>
    <t>組織</t>
  </si>
  <si>
    <t>IMPo</t>
  </si>
  <si>
    <t>Ul</t>
  </si>
  <si>
    <t>Un</t>
  </si>
  <si>
    <t>綺麗で見やすい</t>
  </si>
  <si>
    <t>Ue</t>
  </si>
  <si>
    <t>Ud</t>
  </si>
  <si>
    <t>Ol</t>
  </si>
  <si>
    <t>On</t>
  </si>
  <si>
    <t>Oe</t>
  </si>
  <si>
    <t>Od</t>
  </si>
  <si>
    <t>齟齬</t>
  </si>
  <si>
    <t>齟齬チェック</t>
  </si>
  <si>
    <t>Sch</t>
  </si>
  <si>
    <t>齟齬集計</t>
  </si>
  <si>
    <t>Sag</t>
  </si>
  <si>
    <t>ライブラリ</t>
  </si>
  <si>
    <t>DAO</t>
  </si>
  <si>
    <t>LIVd</t>
  </si>
  <si>
    <t>DAOを使うとコードが書きやすくなる</t>
  </si>
  <si>
    <t>定数リスト</t>
  </si>
  <si>
    <t>LIVc</t>
  </si>
  <si>
    <t>LIVl</t>
  </si>
  <si>
    <t>合計</t>
  </si>
  <si>
    <t>プロジェクト全体フリーテキスト（エンジニア）</t>
  </si>
  <si>
    <t>コメントの棚卸しと最適化でもっと読みやすくなると思う。</t>
  </si>
  <si>
    <t>プロジェクト全体フリーテキスト（マネージャー）</t>
  </si>
  <si>
    <t>逆にコメントを読んでコードリーディングに役立てる力をつけることが大事。
また良いコメントを書く力を養う努力も必要。
SARMSの改修を経験してある程度、力もついてきたと思うので、次プロジェクトではその辺に
フォーカスする必要がある。</t>
  </si>
  <si>
    <t>No</t>
  </si>
  <si>
    <t>マージID</t>
  </si>
  <si>
    <t>モジュール名</t>
  </si>
  <si>
    <t>機能名</t>
  </si>
  <si>
    <t>難易度</t>
  </si>
  <si>
    <t>タイトル</t>
  </si>
  <si>
    <t>改修日付</t>
  </si>
  <si>
    <t>予定工数</t>
  </si>
  <si>
    <t>工数実績</t>
  </si>
  <si>
    <t>Story</t>
  </si>
  <si>
    <t>タスクNo.</t>
  </si>
  <si>
    <t>差し戻し理由</t>
  </si>
  <si>
    <t>ライセンス辞書 更新</t>
  </si>
  <si>
    <t>インポート ライセンス辞書 更新 バリデーション 「辞書コード」存在チェック (002-004)</t>
  </si>
  <si>
    <t>#10490</t>
  </si>
  <si>
    <t>#10922</t>
  </si>
  <si>
    <t>ハードウェア管理番号同期処理（収集情報取込バッチ）</t>
  </si>
  <si>
    <t>#10285</t>
  </si>
  <si>
    <t>#10476</t>
  </si>
  <si>
    <t>必要の無い処理の記述
「京セラではハードウェア管理番号の代わりに収集情報主キーを使用するがハードウェア管理番号を使用していた」</t>
  </si>
  <si>
    <t>一般ユーザログイン 同一のハードウェア管理番号が複数存在する場合にエラーメッセージを出力</t>
  </si>
  <si>
    <t>#10392</t>
  </si>
  <si>
    <t>#10398</t>
  </si>
  <si>
    <t>Hu</t>
  </si>
  <si>
    <t>一般ユーザ ハードウェア台帳 更新画面 説明ボタン配置の修正</t>
  </si>
  <si>
    <t>#10393</t>
  </si>
  <si>
    <t>[#213]ライセンス台帳 削除 削除しようとしたライセンスがアップグレード元の場合はエラーで止める</t>
  </si>
  <si>
    <t>#10345</t>
  </si>
  <si>
    <t>#10367</t>
  </si>
  <si>
    <t>ライセンス割当</t>
  </si>
  <si>
    <t>検索</t>
  </si>
  <si>
    <t>[#210]ライセンス割当 ライセンス台帳選択モーダル 検索オプション「廃棄済みライセンスを表示しない」は削除</t>
  </si>
  <si>
    <t>#10387</t>
  </si>
  <si>
    <t>登録</t>
  </si>
  <si>
    <t>[#175,#209]ライセンス割当 新規登録・更新・ライセンス選択モーダル 文言修正</t>
  </si>
  <si>
    <t>#10324</t>
  </si>
  <si>
    <t>#10325</t>
  </si>
  <si>
    <t>[#194] ハードウェア台帳 新規登録・更新・インポート 文字数チェック修正</t>
  </si>
  <si>
    <t>#10340</t>
  </si>
  <si>
    <t>#10357</t>
  </si>
  <si>
    <t>インデントが整ってない</t>
  </si>
  <si>
    <t>ライセンス辞書 申請時 メール送信・文言適用</t>
  </si>
  <si>
    <t>#10312</t>
  </si>
  <si>
    <t>#10315</t>
  </si>
  <si>
    <t>メールタイトル/文言の変更忘れ</t>
  </si>
  <si>
    <t>ライセンス辞書 保守 upd_name, upd_syozoku のバリデーション削除</t>
  </si>
  <si>
    <t>#10319</t>
  </si>
  <si>
    <t>ライセンス辞書 新規申請 ページ最下部「一覧に戻る」へのリンク修正</t>
  </si>
  <si>
    <t>#10305</t>
  </si>
  <si>
    <t>ハードウェア台帳　更新できない項目が存在する</t>
  </si>
  <si>
    <t>#10276</t>
  </si>
  <si>
    <t>#10277</t>
  </si>
  <si>
    <t>ハードウェア台帳 「参照用使用者情報」項目の修正</t>
  </si>
  <si>
    <t>#10159</t>
  </si>
  <si>
    <t>#10160</t>
  </si>
  <si>
    <t>ライセンス台帳一覧　検索 と等しいの条件が動作しない不具合修正</t>
  </si>
  <si>
    <t>#10239</t>
  </si>
  <si>
    <t>ライセンス辞書 一覧 検索項目の「ハードウェア固定」と「アップグレード版」が逆</t>
  </si>
  <si>
    <t>#10218</t>
  </si>
  <si>
    <t>インポート ライセンス台帳 バリデーション　CSV項目基本設計書に従ったメンテナンス</t>
  </si>
  <si>
    <t>#9985</t>
  </si>
  <si>
    <t>#9987</t>
  </si>
  <si>
    <t>バリデーションが表示されてないように修正を加えたがバリデーションが表示されていた</t>
  </si>
  <si>
    <t>ハードウェア台帳「使用者によるソフトウェア追加導入削除コード(シ)」項目の入力必須可</t>
  </si>
  <si>
    <t>#10079</t>
  </si>
  <si>
    <t>#10163</t>
  </si>
  <si>
    <t>ハードウェア台帳 バリデーション 軽微な修正 SARMS京セラ_バリデーション定義書に従ったメンテナンス</t>
  </si>
  <si>
    <t>#9943</t>
  </si>
  <si>
    <t>#10018</t>
  </si>
  <si>
    <t>ライブラリ系</t>
  </si>
  <si>
    <t>DAO関数改修 不要コード削除</t>
  </si>
  <si>
    <t>#10074</t>
  </si>
  <si>
    <t>#10075#10076</t>
  </si>
  <si>
    <t>SQLエラーが表示されていたため</t>
  </si>
  <si>
    <t>ハードウェア台帳 バリデーション 軽微な修正</t>
  </si>
  <si>
    <t>Function を使用するようにリファクタリングのため</t>
  </si>
  <si>
    <t>ハードウェア台帳 削除 削除完了時の追加実装</t>
  </si>
  <si>
    <t>#9945</t>
  </si>
  <si>
    <t>一般ユーザ編集画面修正</t>
  </si>
  <si>
    <t>収集情報手段の修正</t>
  </si>
  <si>
    <t xml:space="preserve">ハードウェア台帳 収集情報更新 バリデーション
SARMS京セラ_バリデーション定義書に従ったメンテナンス
</t>
  </si>
  <si>
    <t>#9911</t>
  </si>
  <si>
    <t>改修箇所への署名忘れ</t>
  </si>
  <si>
    <t>ハードウェア台帳 新規登録 手動登録時の「情報収集手段」の内容を「手動登録」に変更</t>
  </si>
  <si>
    <t>#9953</t>
  </si>
  <si>
    <t>ハードウェア台帳 CSV出力 「資産管理グループ内部キー(収)」を「資産管理グループコード」に変更</t>
  </si>
  <si>
    <t>#9954</t>
  </si>
  <si>
    <t>ハードウェア台帳 削除 削除完了時の追加実装
ハードウェア台帳に紐づくデータも削除する様に修正</t>
  </si>
  <si>
    <t>ハードウェア台帳 更新 所属変更時の警告とライセンス割当解除処理</t>
  </si>
  <si>
    <t>#9950</t>
  </si>
  <si>
    <t>ハードウェア台帳一覧　修正
一覧項目のメンテナンス</t>
  </si>
  <si>
    <t>#9892</t>
  </si>
  <si>
    <t>#9956</t>
  </si>
  <si>
    <t>IT資産管理者 「代表者社員番号」(メールアドレス) 項目をテキストエリアからテキストボックスに修正</t>
  </si>
  <si>
    <t>#9929</t>
  </si>
  <si>
    <t>#9932</t>
  </si>
  <si>
    <t>Codeテーブルから値を参照する必要があるため修正</t>
  </si>
  <si>
    <t>ハードウェア台帳保守 説明文の位置修正</t>
  </si>
</sst>
</file>

<file path=xl/styles.xml><?xml version="1.0" encoding="utf-8"?>
<styleSheet xmlns="http://schemas.openxmlformats.org/spreadsheetml/2006/main">
  <numFmts count="5">
    <numFmt numFmtId="41" formatCode="_(* #,##0_);_(* \(#,##0\);_(* &quot;-&quot;_);_(@_)"/>
    <numFmt numFmtId="42" formatCode="_(&quot;$&quot;* #,##0_);_(&quot;$&quot;* \(#,##0\);_(&quot;$&quot;* &quot;-&quot;_);_(@_)"/>
    <numFmt numFmtId="176" formatCode="m/d/yyyy;@"/>
    <numFmt numFmtId="43" formatCode="_(* #,##0.00_);_(* \(#,##0.00\);_(* &quot;-&quot;??_);_(@_)"/>
    <numFmt numFmtId="44" formatCode="_(&quot;$&quot;* #,##0.00_);_(&quot;$&quot;* \(#,##0.00\);_(&quot;$&quot;* &quot;-&quot;??_);_(@_)"/>
  </numFmts>
  <fonts count="27">
    <font>
      <sz val="11"/>
      <color rgb="FF333333"/>
      <name val="Calibri"/>
      <charset val="134"/>
    </font>
    <font>
      <sz val="11"/>
      <color rgb="FF333333"/>
      <name val="Calibri"/>
      <charset val="134"/>
      <scheme val="minor"/>
    </font>
    <font>
      <b/>
      <sz val="11"/>
      <color rgb="FF333333"/>
      <name val="Calibri"/>
      <charset val="134"/>
      <scheme val="minor"/>
    </font>
    <font>
      <b/>
      <sz val="24"/>
      <color rgb="FF333333"/>
      <name val="Calibri"/>
      <charset val="134"/>
      <scheme val="minor"/>
    </font>
    <font>
      <b/>
      <sz val="18"/>
      <color rgb="FF333333"/>
      <name val="Calibri"/>
      <charset val="134"/>
      <scheme val="minor"/>
    </font>
    <font>
      <b/>
      <u/>
      <sz val="11"/>
      <color rgb="FF333333"/>
      <name val="Calibri"/>
      <charset val="134"/>
      <scheme val="minor"/>
    </font>
    <font>
      <sz val="10"/>
      <name val="Arial"/>
      <charset val="134"/>
    </font>
    <font>
      <u/>
      <sz val="11"/>
      <color rgb="FF0000FF"/>
      <name val="Calibri"/>
      <charset val="0"/>
      <scheme val="minor"/>
    </font>
    <font>
      <b/>
      <sz val="11"/>
      <color rgb="FF3F3F3F"/>
      <name val="Calibri"/>
      <charset val="0"/>
      <scheme val="minor"/>
    </font>
    <font>
      <sz val="11"/>
      <color rgb="FFFF0000"/>
      <name val="Calibri"/>
      <charset val="0"/>
      <scheme val="minor"/>
    </font>
    <font>
      <sz val="11"/>
      <color theme="1"/>
      <name val="Calibri"/>
      <charset val="0"/>
      <scheme val="minor"/>
    </font>
    <font>
      <sz val="11"/>
      <color theme="0"/>
      <name val="Calibri"/>
      <charset val="0"/>
      <scheme val="minor"/>
    </font>
    <font>
      <sz val="11"/>
      <color rgb="FF006100"/>
      <name val="Calibri"/>
      <charset val="0"/>
      <scheme val="minor"/>
    </font>
    <font>
      <sz val="11"/>
      <color theme="1"/>
      <name val="Calibri"/>
      <charset val="134"/>
      <scheme val="minor"/>
    </font>
    <font>
      <b/>
      <sz val="18"/>
      <color theme="3"/>
      <name val="Calibri"/>
      <charset val="134"/>
      <scheme val="minor"/>
    </font>
    <font>
      <b/>
      <sz val="11"/>
      <color rgb="FFFFFFFF"/>
      <name val="Calibri"/>
      <charset val="0"/>
      <scheme val="minor"/>
    </font>
    <font>
      <sz val="11"/>
      <color rgb="FF3F3F76"/>
      <name val="Calibri"/>
      <charset val="0"/>
      <scheme val="minor"/>
    </font>
    <font>
      <b/>
      <sz val="11"/>
      <color theme="1"/>
      <name val="Calibri"/>
      <charset val="0"/>
      <scheme val="minor"/>
    </font>
    <font>
      <sz val="11"/>
      <color rgb="FF9C0006"/>
      <name val="Calibri"/>
      <charset val="0"/>
      <scheme val="minor"/>
    </font>
    <font>
      <u/>
      <sz val="11"/>
      <color rgb="FF800080"/>
      <name val="Calibri"/>
      <charset val="0"/>
      <scheme val="minor"/>
    </font>
    <font>
      <b/>
      <sz val="13"/>
      <color theme="3"/>
      <name val="Calibri"/>
      <charset val="134"/>
      <scheme val="minor"/>
    </font>
    <font>
      <b/>
      <sz val="15"/>
      <color theme="3"/>
      <name val="Calibri"/>
      <charset val="134"/>
      <scheme val="minor"/>
    </font>
    <font>
      <i/>
      <sz val="11"/>
      <color rgb="FF7F7F7F"/>
      <name val="Calibri"/>
      <charset val="0"/>
      <scheme val="minor"/>
    </font>
    <font>
      <b/>
      <sz val="11"/>
      <color theme="3"/>
      <name val="Calibri"/>
      <charset val="134"/>
      <scheme val="minor"/>
    </font>
    <font>
      <b/>
      <sz val="11"/>
      <color rgb="FFFA7D00"/>
      <name val="Calibri"/>
      <charset val="0"/>
      <scheme val="minor"/>
    </font>
    <font>
      <sz val="11"/>
      <color rgb="FFFA7D00"/>
      <name val="Calibri"/>
      <charset val="0"/>
      <scheme val="minor"/>
    </font>
    <font>
      <sz val="11"/>
      <color rgb="FF9C6500"/>
      <name val="Calibri"/>
      <charset val="0"/>
      <scheme val="minor"/>
    </font>
  </fonts>
  <fills count="35">
    <fill>
      <patternFill patternType="none"/>
    </fill>
    <fill>
      <patternFill patternType="gray125"/>
    </fill>
    <fill>
      <patternFill patternType="solid">
        <fgColor rgb="FFC0C0C0"/>
        <bgColor rgb="FFCCCCFF"/>
      </patternFill>
    </fill>
    <fill>
      <patternFill patternType="solid">
        <fgColor rgb="FFFFFFCC"/>
        <bgColor rgb="FFFFFFFF"/>
      </patternFill>
    </fill>
    <fill>
      <patternFill patternType="solid">
        <fgColor rgb="FFF2F2F2"/>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rgb="FFFFFFCC"/>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4"/>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7"/>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7" tint="0.599993896298105"/>
        <bgColor indexed="64"/>
      </patternFill>
    </fill>
    <fill>
      <patternFill patternType="solid">
        <fgColor rgb="FFFFEB9C"/>
        <bgColor indexed="64"/>
      </patternFill>
    </fill>
    <fill>
      <patternFill patternType="solid">
        <fgColor theme="9" tint="0.599993896298105"/>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s>
  <cellStyleXfs count="50">
    <xf numFmtId="0" fontId="0" fillId="0" borderId="0">
      <alignment vertical="center"/>
    </xf>
    <xf numFmtId="0" fontId="0" fillId="0" borderId="0">
      <alignment vertical="center"/>
    </xf>
    <xf numFmtId="0" fontId="11" fillId="21" borderId="0" applyNumberFormat="0" applyBorder="0" applyAlignment="0" applyProtection="0">
      <alignment vertical="center"/>
    </xf>
    <xf numFmtId="0" fontId="10" fillId="34"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1" fillId="14" borderId="0" applyNumberFormat="0" applyBorder="0" applyAlignment="0" applyProtection="0">
      <alignment vertical="center"/>
    </xf>
    <xf numFmtId="0" fontId="11" fillId="28" borderId="0" applyNumberFormat="0" applyBorder="0" applyAlignment="0" applyProtection="0">
      <alignment vertical="center"/>
    </xf>
    <xf numFmtId="0" fontId="10" fillId="32" borderId="0" applyNumberFormat="0" applyBorder="0" applyAlignment="0" applyProtection="0">
      <alignment vertical="center"/>
    </xf>
    <xf numFmtId="0" fontId="11" fillId="22" borderId="0" applyNumberFormat="0" applyBorder="0" applyAlignment="0" applyProtection="0">
      <alignment vertical="center"/>
    </xf>
    <xf numFmtId="0" fontId="25" fillId="0" borderId="17" applyNumberFormat="0" applyFill="0" applyAlignment="0" applyProtection="0">
      <alignment vertical="center"/>
    </xf>
    <xf numFmtId="0" fontId="10" fillId="2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0" fillId="27" borderId="0" applyNumberFormat="0" applyBorder="0" applyAlignment="0" applyProtection="0">
      <alignment vertical="center"/>
    </xf>
    <xf numFmtId="0" fontId="10" fillId="18" borderId="0" applyNumberFormat="0" applyBorder="0" applyAlignment="0" applyProtection="0">
      <alignment vertical="center"/>
    </xf>
    <xf numFmtId="0" fontId="11" fillId="17" borderId="0" applyNumberFormat="0" applyBorder="0" applyAlignment="0" applyProtection="0">
      <alignment vertical="center"/>
    </xf>
    <xf numFmtId="0" fontId="10" fillId="16" borderId="0" applyNumberFormat="0" applyBorder="0" applyAlignment="0" applyProtection="0">
      <alignment vertical="center"/>
    </xf>
    <xf numFmtId="0" fontId="11" fillId="19" borderId="0" applyNumberFormat="0" applyBorder="0" applyAlignment="0" applyProtection="0">
      <alignment vertical="center"/>
    </xf>
    <xf numFmtId="41" fontId="6" fillId="0" borderId="0" applyBorder="0" applyAlignment="0" applyProtection="0"/>
    <xf numFmtId="0" fontId="26" fillId="33" borderId="0" applyNumberFormat="0" applyBorder="0" applyAlignment="0" applyProtection="0">
      <alignment vertical="center"/>
    </xf>
    <xf numFmtId="0" fontId="11" fillId="13" borderId="0" applyNumberFormat="0" applyBorder="0" applyAlignment="0" applyProtection="0">
      <alignment vertical="center"/>
    </xf>
    <xf numFmtId="0" fontId="18" fillId="12" borderId="0" applyNumberFormat="0" applyBorder="0" applyAlignment="0" applyProtection="0">
      <alignment vertical="center"/>
    </xf>
    <xf numFmtId="0" fontId="10" fillId="26" borderId="0" applyNumberFormat="0" applyBorder="0" applyAlignment="0" applyProtection="0">
      <alignment vertical="center"/>
    </xf>
    <xf numFmtId="0" fontId="17" fillId="0" borderId="15" applyNumberFormat="0" applyFill="0" applyAlignment="0" applyProtection="0">
      <alignment vertical="center"/>
    </xf>
    <xf numFmtId="0" fontId="8" fillId="4" borderId="11" applyNumberFormat="0" applyAlignment="0" applyProtection="0">
      <alignment vertical="center"/>
    </xf>
    <xf numFmtId="44" fontId="6" fillId="0" borderId="0" applyBorder="0" applyAlignment="0" applyProtection="0"/>
    <xf numFmtId="0" fontId="10" fillId="10" borderId="0" applyNumberFormat="0" applyBorder="0" applyAlignment="0" applyProtection="0">
      <alignment vertical="center"/>
    </xf>
    <xf numFmtId="0" fontId="13" fillId="8" borderId="12" applyNumberFormat="0" applyFont="0" applyAlignment="0" applyProtection="0">
      <alignment vertical="center"/>
    </xf>
    <xf numFmtId="0" fontId="16" fillId="11" borderId="14" applyNumberFormat="0" applyAlignment="0" applyProtection="0">
      <alignment vertical="center"/>
    </xf>
    <xf numFmtId="0" fontId="23" fillId="0" borderId="0" applyNumberFormat="0" applyFill="0" applyBorder="0" applyAlignment="0" applyProtection="0">
      <alignment vertical="center"/>
    </xf>
    <xf numFmtId="0" fontId="24" fillId="4" borderId="14" applyNumberFormat="0" applyAlignment="0" applyProtection="0">
      <alignment vertical="center"/>
    </xf>
    <xf numFmtId="0" fontId="12" fillId="7" borderId="0" applyNumberFormat="0" applyBorder="0" applyAlignment="0" applyProtection="0">
      <alignment vertical="center"/>
    </xf>
    <xf numFmtId="0" fontId="23" fillId="0" borderId="18" applyNumberFormat="0" applyFill="0" applyAlignment="0" applyProtection="0">
      <alignment vertical="center"/>
    </xf>
    <xf numFmtId="0" fontId="22" fillId="0" borderId="0" applyNumberFormat="0" applyFill="0" applyBorder="0" applyAlignment="0" applyProtection="0">
      <alignment vertical="center"/>
    </xf>
    <xf numFmtId="0" fontId="11" fillId="6" borderId="0" applyNumberFormat="0" applyBorder="0" applyAlignment="0" applyProtection="0">
      <alignment vertical="center"/>
    </xf>
    <xf numFmtId="42" fontId="6" fillId="0" borderId="0" applyBorder="0" applyAlignment="0" applyProtection="0"/>
    <xf numFmtId="0" fontId="21" fillId="0" borderId="16" applyNumberFormat="0" applyFill="0" applyAlignment="0" applyProtection="0">
      <alignment vertical="center"/>
    </xf>
    <xf numFmtId="0" fontId="10" fillId="5" borderId="0" applyNumberFormat="0" applyBorder="0" applyAlignment="0" applyProtection="0">
      <alignment vertical="center"/>
    </xf>
    <xf numFmtId="0" fontId="1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24" borderId="0" applyNumberFormat="0" applyBorder="0" applyAlignment="0" applyProtection="0">
      <alignment vertical="center"/>
    </xf>
    <xf numFmtId="0" fontId="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6" applyNumberFormat="0" applyFill="0" applyAlignment="0" applyProtection="0">
      <alignment vertical="center"/>
    </xf>
    <xf numFmtId="43" fontId="6" fillId="0" borderId="0" applyBorder="0" applyAlignment="0" applyProtection="0"/>
    <xf numFmtId="0" fontId="15" fillId="9" borderId="13" applyNumberFormat="0" applyAlignment="0" applyProtection="0">
      <alignment vertical="center"/>
    </xf>
    <xf numFmtId="9" fontId="6" fillId="0" borderId="0" applyBorder="0" applyAlignment="0" applyProtection="0"/>
  </cellStyleXfs>
  <cellXfs count="50">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1" xfId="0" applyFont="1" applyBorder="1">
      <alignment vertical="center"/>
    </xf>
    <xf numFmtId="0" fontId="2" fillId="0" borderId="2" xfId="0" applyFont="1" applyBorder="1">
      <alignment vertical="center"/>
    </xf>
    <xf numFmtId="0" fontId="2" fillId="0" borderId="2" xfId="1" applyFont="1" applyBorder="1">
      <alignment vertical="center"/>
    </xf>
    <xf numFmtId="0" fontId="2" fillId="0" borderId="3" xfId="1" applyFont="1" applyBorder="1">
      <alignment vertical="center"/>
    </xf>
    <xf numFmtId="0" fontId="1" fillId="0" borderId="1" xfId="0" applyFont="1" applyBorder="1">
      <alignment vertical="center"/>
    </xf>
    <xf numFmtId="0" fontId="1" fillId="0" borderId="4" xfId="0" applyFont="1" applyBorder="1">
      <alignment vertical="center"/>
    </xf>
    <xf numFmtId="0" fontId="1" fillId="0" borderId="4" xfId="1" applyFont="1" applyBorder="1" applyAlignment="1">
      <alignment vertical="center"/>
    </xf>
    <xf numFmtId="0" fontId="1" fillId="0" borderId="5" xfId="1" applyFont="1" applyBorder="1" applyAlignment="1">
      <alignment horizontal="left" vertical="center"/>
    </xf>
    <xf numFmtId="0" fontId="1" fillId="0" borderId="1" xfId="1" applyFont="1" applyBorder="1" applyAlignment="1">
      <alignment horizontal="left" vertical="center"/>
    </xf>
    <xf numFmtId="0" fontId="1" fillId="0" borderId="4" xfId="1" applyFont="1" applyBorder="1" applyAlignment="1">
      <alignment horizontal="left" vertical="center"/>
    </xf>
    <xf numFmtId="0" fontId="2" fillId="0" borderId="3" xfId="1" applyFont="1" applyBorder="1" applyAlignment="1">
      <alignment vertical="center" wrapText="1"/>
    </xf>
    <xf numFmtId="0" fontId="1" fillId="2" borderId="5" xfId="1" applyFont="1" applyFill="1" applyBorder="1" applyAlignment="1">
      <alignment horizontal="right" vertical="top"/>
    </xf>
    <xf numFmtId="0" fontId="1" fillId="0" borderId="5" xfId="1" applyFont="1" applyBorder="1" applyAlignment="1">
      <alignment vertical="center" wrapText="1"/>
    </xf>
    <xf numFmtId="176" fontId="1" fillId="0" borderId="5" xfId="0" applyNumberFormat="1" applyFont="1" applyBorder="1" applyAlignment="1">
      <alignment vertical="center" wrapText="1"/>
    </xf>
    <xf numFmtId="176" fontId="1" fillId="0" borderId="1" xfId="0" applyNumberFormat="1" applyFont="1" applyBorder="1" applyAlignment="1">
      <alignment vertical="center" wrapText="1"/>
    </xf>
    <xf numFmtId="0" fontId="1" fillId="2" borderId="1" xfId="1" applyFont="1" applyFill="1" applyBorder="1" applyAlignment="1">
      <alignment horizontal="right" vertical="top"/>
    </xf>
    <xf numFmtId="0" fontId="1" fillId="0" borderId="1" xfId="0" applyFont="1" applyBorder="1" applyAlignment="1">
      <alignment vertical="center" wrapText="1"/>
    </xf>
    <xf numFmtId="0" fontId="1" fillId="0" borderId="6" xfId="0" applyFont="1" applyBorder="1" applyAlignment="1">
      <alignment vertical="center" wrapText="1"/>
    </xf>
    <xf numFmtId="176" fontId="1" fillId="0" borderId="6" xfId="0" applyNumberFormat="1" applyFont="1" applyBorder="1" applyAlignment="1">
      <alignment vertical="center" wrapText="1"/>
    </xf>
    <xf numFmtId="0" fontId="2" fillId="0" borderId="1" xfId="1" applyFont="1" applyBorder="1" applyAlignment="1">
      <alignment vertical="center" wrapText="1"/>
    </xf>
    <xf numFmtId="0" fontId="1" fillId="0" borderId="5" xfId="0" applyNumberFormat="1" applyFont="1" applyBorder="1" applyAlignment="1">
      <alignment vertical="center" wrapText="1"/>
    </xf>
    <xf numFmtId="0" fontId="1" fillId="0" borderId="5" xfId="1" applyNumberFormat="1" applyFont="1" applyBorder="1" applyAlignment="1">
      <alignment vertical="center" wrapText="1"/>
    </xf>
    <xf numFmtId="0" fontId="1" fillId="0" borderId="5" xfId="0" applyFont="1" applyBorder="1" applyAlignment="1">
      <alignment vertical="center" wrapText="1"/>
    </xf>
    <xf numFmtId="0" fontId="1" fillId="0" borderId="5" xfId="0" applyNumberFormat="1" applyFont="1" applyBorder="1" applyAlignment="1">
      <alignment vertical="center" wrapText="1"/>
    </xf>
    <xf numFmtId="0" fontId="1" fillId="0" borderId="1" xfId="0" applyNumberFormat="1" applyFont="1" applyBorder="1" applyAlignment="1">
      <alignment vertical="center" wrapText="1"/>
    </xf>
    <xf numFmtId="0" fontId="1" fillId="0" borderId="1" xfId="1" applyNumberFormat="1" applyFont="1" applyBorder="1" applyAlignment="1">
      <alignment vertical="center" wrapText="1"/>
    </xf>
    <xf numFmtId="0" fontId="1" fillId="0" borderId="6" xfId="0" applyNumberFormat="1" applyFont="1" applyBorder="1" applyAlignment="1">
      <alignment vertical="center" wrapText="1"/>
    </xf>
    <xf numFmtId="0" fontId="2" fillId="0" borderId="4" xfId="1" applyFont="1" applyBorder="1" applyAlignment="1">
      <alignment vertical="center" wrapText="1"/>
    </xf>
    <xf numFmtId="0" fontId="3" fillId="0" borderId="0" xfId="0" applyFont="1">
      <alignment vertical="center"/>
    </xf>
    <xf numFmtId="0" fontId="4" fillId="0" borderId="0" xfId="0" applyFont="1">
      <alignment vertical="center"/>
    </xf>
    <xf numFmtId="0" fontId="5" fillId="0" borderId="0" xfId="0" applyFont="1">
      <alignment vertical="center"/>
    </xf>
    <xf numFmtId="0" fontId="1" fillId="0" borderId="7"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8" xfId="0" applyFont="1" applyBorder="1" applyAlignment="1">
      <alignment horizontal="center" vertical="center"/>
    </xf>
    <xf numFmtId="0" fontId="1" fillId="0" borderId="9" xfId="0"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1" fillId="3" borderId="1" xfId="0" applyFont="1" applyFill="1" applyBorder="1" applyAlignment="1">
      <alignment horizontal="left" vertical="top"/>
    </xf>
    <xf numFmtId="0" fontId="1" fillId="0" borderId="1" xfId="0" applyFont="1" applyBorder="1" applyAlignment="1">
      <alignment horizontal="left" vertical="top"/>
    </xf>
    <xf numFmtId="0" fontId="1" fillId="0" borderId="0" xfId="0" applyFont="1" applyAlignment="1">
      <alignment horizontal="right" vertical="center"/>
    </xf>
  </cellXfs>
  <cellStyles count="50">
    <cellStyle name="Normal" xfId="0" builtinId="0"/>
    <cellStyle name="" xfId="1"/>
    <cellStyle name="60% - Accent6" xfId="2" builtinId="52"/>
    <cellStyle name="40% - Accent6" xfId="3" builtinId="51"/>
    <cellStyle name="60% - Accent5" xfId="4" builtinId="48"/>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Accent3" xfId="15" builtinId="37"/>
    <cellStyle name="40% - Accent2" xfId="16" builtinId="35"/>
    <cellStyle name="20% - Accent2" xfId="17" builtinId="34"/>
    <cellStyle name="Accent2" xfId="18" builtinId="33"/>
    <cellStyle name="40% - Accent1" xfId="19" builtinId="31"/>
    <cellStyle name="Accent1" xfId="20" builtinId="29"/>
    <cellStyle name="Comma[0]" xfId="21" builtinId="6"/>
    <cellStyle name="Neutral" xfId="22" builtinId="28"/>
    <cellStyle name="60% - Accent1" xfId="23" builtinId="32"/>
    <cellStyle name="Bad" xfId="24" builtinId="27"/>
    <cellStyle name="20% - Accent4" xfId="25" builtinId="42"/>
    <cellStyle name="Total" xfId="26" builtinId="25"/>
    <cellStyle name="Output" xfId="27" builtinId="21"/>
    <cellStyle name="Currency" xfId="28" builtinId="4"/>
    <cellStyle name="20% - Accent3" xfId="29" builtinId="38"/>
    <cellStyle name="Note" xfId="30" builtinId="10"/>
    <cellStyle name="Input" xfId="31" builtinId="20"/>
    <cellStyle name="Heading 4" xfId="32" builtinId="19"/>
    <cellStyle name="Calculation" xfId="33" builtinId="22"/>
    <cellStyle name="Good" xfId="34" builtinId="26"/>
    <cellStyle name="Heading 3" xfId="35" builtinId="18"/>
    <cellStyle name="CExplanatory Text" xfId="36" builtinId="53"/>
    <cellStyle name="60% - Accent3" xfId="37" builtinId="40"/>
    <cellStyle name="Currency[0]" xfId="38" builtinId="7"/>
    <cellStyle name="Heading 1" xfId="39" builtinId="16"/>
    <cellStyle name="20% - Accent6" xfId="40" builtinId="50"/>
    <cellStyle name="Title" xfId="41" builtinId="15"/>
    <cellStyle name="Warning Text" xfId="42" builtinId="11"/>
    <cellStyle name="20% - Accent1" xfId="43" builtinId="30"/>
    <cellStyle name="Hyperlink" xfId="44" builtinId="8"/>
    <cellStyle name="Followed Hyperlink" xfId="45" builtinId="9"/>
    <cellStyle name="Heading 2" xfId="46" builtinId="17"/>
    <cellStyle name="Comma" xfId="47" builtinId="3"/>
    <cellStyle name="Check Cell" xfId="48" builtinId="23"/>
    <cellStyle name="Percent" xfId="49" builtinId="5"/>
  </cellStyles>
  <tableStyles count="0" defaultTableStyle="TableStyleMedium2"/>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444444"/>
      </a:dk1>
      <a:lt1>
        <a:sysClr val="window" lastClr="F9F9F9"/>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3:AS100"/>
  <sheetViews>
    <sheetView topLeftCell="A67" workbookViewId="0">
      <selection activeCell="X12" sqref="X12"/>
    </sheetView>
  </sheetViews>
  <sheetFormatPr defaultColWidth="9" defaultRowHeight="12.75"/>
  <cols>
    <col min="1" max="5" width="2.7" style="1"/>
    <col min="6" max="6" width="1.12666666666667" style="1"/>
    <col min="7" max="7" width="1.2" style="1" customWidth="1"/>
    <col min="8" max="19" width="2.7" style="1"/>
    <col min="20" max="20" width="3.3" style="1"/>
    <col min="21" max="21" width="1.5" style="1"/>
    <col min="22" max="23" width="9" style="1" hidden="1"/>
    <col min="24" max="33" width="2.7" style="1"/>
    <col min="34" max="34" width="2" style="1" customWidth="1"/>
    <col min="35" max="1025" width="2.7" style="1"/>
    <col min="1026" max="16384" width="9" style="1"/>
  </cols>
  <sheetData>
    <row r="3" ht="27.75" spans="1:1">
      <c r="A3" s="31" t="s">
        <v>0</v>
      </c>
    </row>
    <row r="6" ht="21.75" spans="1:1">
      <c r="A6" s="32" t="s">
        <v>1</v>
      </c>
    </row>
    <row r="8" spans="2:6">
      <c r="B8" s="33" t="s">
        <v>2</v>
      </c>
      <c r="F8" s="1" t="s">
        <v>3</v>
      </c>
    </row>
    <row r="9" spans="2:6">
      <c r="B9" s="33" t="s">
        <v>4</v>
      </c>
      <c r="F9" s="1" t="s">
        <v>5</v>
      </c>
    </row>
    <row r="10" spans="2:6">
      <c r="B10" s="33" t="s">
        <v>6</v>
      </c>
      <c r="F10" s="1" t="s">
        <v>7</v>
      </c>
    </row>
    <row r="13" ht="21.75" spans="1:1">
      <c r="A13" s="32" t="s">
        <v>8</v>
      </c>
    </row>
    <row r="15" spans="2:7">
      <c r="B15" s="33" t="s">
        <v>9</v>
      </c>
      <c r="G15" s="1" t="s">
        <v>10</v>
      </c>
    </row>
    <row r="16" spans="2:7">
      <c r="B16" s="33" t="s">
        <v>11</v>
      </c>
      <c r="G16" s="1" t="s">
        <v>12</v>
      </c>
    </row>
    <row r="17" spans="2:7">
      <c r="B17" s="33" t="s">
        <v>13</v>
      </c>
      <c r="G17" s="1" t="s">
        <v>14</v>
      </c>
    </row>
    <row r="18" spans="3:3">
      <c r="C18" s="1" t="s">
        <v>15</v>
      </c>
    </row>
    <row r="19" spans="3:3">
      <c r="C19" s="1" t="s">
        <v>16</v>
      </c>
    </row>
    <row r="20" spans="3:3">
      <c r="C20" s="1" t="s">
        <v>17</v>
      </c>
    </row>
    <row r="21" spans="3:3">
      <c r="C21" s="1" t="s">
        <v>18</v>
      </c>
    </row>
    <row r="22" spans="3:3">
      <c r="C22" s="1" t="s">
        <v>19</v>
      </c>
    </row>
    <row r="25" ht="21.75" spans="1:1">
      <c r="A25" s="32" t="s">
        <v>20</v>
      </c>
    </row>
    <row r="27" spans="2:45">
      <c r="B27" s="34" t="s">
        <v>21</v>
      </c>
      <c r="C27" s="34"/>
      <c r="D27" s="34"/>
      <c r="E27" s="34"/>
      <c r="F27" s="34"/>
      <c r="G27" s="34"/>
      <c r="H27" s="36" t="s">
        <v>22</v>
      </c>
      <c r="I27" s="36"/>
      <c r="J27" s="36"/>
      <c r="K27" s="36"/>
      <c r="L27" s="36"/>
      <c r="M27" s="36"/>
      <c r="N27" s="36"/>
      <c r="O27" s="36"/>
      <c r="P27" s="36"/>
      <c r="Q27" s="38" t="s">
        <v>23</v>
      </c>
      <c r="R27" s="38"/>
      <c r="S27" s="38"/>
      <c r="T27" s="39" t="s">
        <v>24</v>
      </c>
      <c r="U27" s="39"/>
      <c r="V27" s="39"/>
      <c r="W27" s="39"/>
      <c r="X27" s="37" t="s">
        <v>25</v>
      </c>
      <c r="Y27" s="37"/>
      <c r="Z27" s="37"/>
      <c r="AA27" s="37"/>
      <c r="AB27" s="37"/>
      <c r="AC27" s="37"/>
      <c r="AD27" s="37"/>
      <c r="AE27" s="37"/>
      <c r="AF27" s="37"/>
      <c r="AG27" s="37"/>
      <c r="AH27" s="37"/>
      <c r="AI27" s="36" t="s">
        <v>26</v>
      </c>
      <c r="AJ27" s="36"/>
      <c r="AK27" s="36"/>
      <c r="AL27" s="36"/>
      <c r="AM27" s="36"/>
      <c r="AN27" s="36"/>
      <c r="AO27" s="36"/>
      <c r="AP27" s="36"/>
      <c r="AQ27" s="36"/>
      <c r="AR27" s="36"/>
      <c r="AS27" s="36"/>
    </row>
    <row r="28" ht="40" customHeight="1" spans="2:45">
      <c r="B28" s="35" t="s">
        <v>27</v>
      </c>
      <c r="C28" s="35"/>
      <c r="D28" s="35"/>
      <c r="E28" s="35"/>
      <c r="F28" s="35"/>
      <c r="G28" s="35"/>
      <c r="H28" s="37" t="s">
        <v>28</v>
      </c>
      <c r="I28" s="37"/>
      <c r="J28" s="37"/>
      <c r="K28" s="37"/>
      <c r="L28" s="37"/>
      <c r="M28" s="37"/>
      <c r="N28" s="37"/>
      <c r="O28" s="37"/>
      <c r="P28" s="37"/>
      <c r="Q28" s="40" t="s">
        <v>29</v>
      </c>
      <c r="R28" s="40"/>
      <c r="S28" s="40"/>
      <c r="T28" s="41">
        <f>IF(COUNTIF(改修詳細!E:E,Q28)=0,"-",COUNTIF(改修詳細!E:E,Q28))</f>
        <v>2</v>
      </c>
      <c r="U28" s="41"/>
      <c r="V28" s="41"/>
      <c r="W28" s="41"/>
      <c r="X28" s="44" t="s">
        <v>30</v>
      </c>
      <c r="Y28" s="44"/>
      <c r="Z28" s="44"/>
      <c r="AA28" s="44"/>
      <c r="AB28" s="44"/>
      <c r="AC28" s="44"/>
      <c r="AD28" s="44"/>
      <c r="AE28" s="44"/>
      <c r="AF28" s="44"/>
      <c r="AG28" s="44"/>
      <c r="AH28" s="44"/>
      <c r="AI28" s="36"/>
      <c r="AJ28" s="36"/>
      <c r="AK28" s="36"/>
      <c r="AL28" s="36"/>
      <c r="AM28" s="36"/>
      <c r="AN28" s="36"/>
      <c r="AO28" s="36"/>
      <c r="AP28" s="36"/>
      <c r="AQ28" s="36"/>
      <c r="AR28" s="36"/>
      <c r="AS28" s="36"/>
    </row>
    <row r="29" ht="25" customHeight="1" spans="2:45">
      <c r="B29" s="35"/>
      <c r="C29" s="35"/>
      <c r="D29" s="35"/>
      <c r="E29" s="35"/>
      <c r="F29" s="35"/>
      <c r="G29" s="35"/>
      <c r="H29" s="37" t="s">
        <v>31</v>
      </c>
      <c r="I29" s="37"/>
      <c r="J29" s="37"/>
      <c r="K29" s="37"/>
      <c r="L29" s="37"/>
      <c r="M29" s="37"/>
      <c r="N29" s="37"/>
      <c r="O29" s="37"/>
      <c r="P29" s="37"/>
      <c r="Q29" s="40" t="s">
        <v>32</v>
      </c>
      <c r="R29" s="40"/>
      <c r="S29" s="40"/>
      <c r="T29" s="41">
        <f>IF(COUNTIF(改修詳細!E:E,Q29)=0,"-",COUNTIF(改修詳細!E:E,Q29))</f>
        <v>5</v>
      </c>
      <c r="U29" s="41"/>
      <c r="V29" s="41"/>
      <c r="W29" s="41"/>
      <c r="X29" s="44" t="s">
        <v>33</v>
      </c>
      <c r="Y29" s="44"/>
      <c r="Z29" s="44"/>
      <c r="AA29" s="44"/>
      <c r="AB29" s="44"/>
      <c r="AC29" s="44"/>
      <c r="AD29" s="44"/>
      <c r="AE29" s="44"/>
      <c r="AF29" s="44"/>
      <c r="AG29" s="44"/>
      <c r="AH29" s="44"/>
      <c r="AI29" s="36"/>
      <c r="AJ29" s="36"/>
      <c r="AK29" s="36"/>
      <c r="AL29" s="36"/>
      <c r="AM29" s="36"/>
      <c r="AN29" s="36"/>
      <c r="AO29" s="36"/>
      <c r="AP29" s="36"/>
      <c r="AQ29" s="36"/>
      <c r="AR29" s="36"/>
      <c r="AS29" s="36"/>
    </row>
    <row r="30" ht="35" customHeight="1" spans="2:45">
      <c r="B30" s="35"/>
      <c r="C30" s="35"/>
      <c r="D30" s="35"/>
      <c r="E30" s="35"/>
      <c r="F30" s="35"/>
      <c r="G30" s="35"/>
      <c r="H30" s="37" t="s">
        <v>34</v>
      </c>
      <c r="I30" s="37"/>
      <c r="J30" s="37"/>
      <c r="K30" s="37"/>
      <c r="L30" s="37"/>
      <c r="M30" s="37"/>
      <c r="N30" s="37"/>
      <c r="O30" s="37"/>
      <c r="P30" s="37"/>
      <c r="Q30" s="40" t="s">
        <v>35</v>
      </c>
      <c r="R30" s="40"/>
      <c r="S30" s="40"/>
      <c r="T30" s="41">
        <f>IF(COUNTIF(改修詳細!E:E,Q30)=0,"-",COUNTIF(改修詳細!E:E,Q30))</f>
        <v>2</v>
      </c>
      <c r="U30" s="41"/>
      <c r="V30" s="41"/>
      <c r="W30" s="41"/>
      <c r="X30" s="44" t="s">
        <v>36</v>
      </c>
      <c r="Y30" s="44"/>
      <c r="Z30" s="44"/>
      <c r="AA30" s="44"/>
      <c r="AB30" s="44"/>
      <c r="AC30" s="44"/>
      <c r="AD30" s="44"/>
      <c r="AE30" s="44"/>
      <c r="AF30" s="44"/>
      <c r="AG30" s="44"/>
      <c r="AH30" s="44"/>
      <c r="AI30" s="36"/>
      <c r="AJ30" s="36"/>
      <c r="AK30" s="36"/>
      <c r="AL30" s="36"/>
      <c r="AM30" s="36"/>
      <c r="AN30" s="36"/>
      <c r="AO30" s="36"/>
      <c r="AP30" s="36"/>
      <c r="AQ30" s="36"/>
      <c r="AR30" s="36"/>
      <c r="AS30" s="36"/>
    </row>
    <row r="31" ht="47" customHeight="1" spans="2:45">
      <c r="B31" s="35"/>
      <c r="C31" s="35"/>
      <c r="D31" s="35"/>
      <c r="E31" s="35"/>
      <c r="F31" s="35"/>
      <c r="G31" s="35"/>
      <c r="H31" s="37" t="s">
        <v>37</v>
      </c>
      <c r="I31" s="37"/>
      <c r="J31" s="37"/>
      <c r="K31" s="37"/>
      <c r="L31" s="37"/>
      <c r="M31" s="37"/>
      <c r="N31" s="37"/>
      <c r="O31" s="37"/>
      <c r="P31" s="37"/>
      <c r="Q31" s="40" t="s">
        <v>35</v>
      </c>
      <c r="R31" s="40"/>
      <c r="S31" s="40"/>
      <c r="T31" s="41">
        <f>IF(COUNTIF(改修詳細!E:E,Q31)=0,"-",COUNTIF(改修詳細!E:E,Q31))</f>
        <v>2</v>
      </c>
      <c r="U31" s="41"/>
      <c r="V31" s="41"/>
      <c r="W31" s="41"/>
      <c r="X31" s="44" t="s">
        <v>38</v>
      </c>
      <c r="Y31" s="44"/>
      <c r="Z31" s="44"/>
      <c r="AA31" s="44"/>
      <c r="AB31" s="44"/>
      <c r="AC31" s="44"/>
      <c r="AD31" s="44"/>
      <c r="AE31" s="44"/>
      <c r="AF31" s="44"/>
      <c r="AG31" s="44"/>
      <c r="AH31" s="44"/>
      <c r="AI31" s="45" t="s">
        <v>39</v>
      </c>
      <c r="AJ31" s="45"/>
      <c r="AK31" s="45"/>
      <c r="AL31" s="45"/>
      <c r="AM31" s="45"/>
      <c r="AN31" s="45"/>
      <c r="AO31" s="45"/>
      <c r="AP31" s="45"/>
      <c r="AQ31" s="45"/>
      <c r="AR31" s="45"/>
      <c r="AS31" s="45"/>
    </row>
    <row r="32" ht="43" customHeight="1" spans="2:45">
      <c r="B32" s="35"/>
      <c r="C32" s="35"/>
      <c r="D32" s="35"/>
      <c r="E32" s="35"/>
      <c r="F32" s="35"/>
      <c r="G32" s="35"/>
      <c r="H32" s="37" t="s">
        <v>40</v>
      </c>
      <c r="I32" s="37"/>
      <c r="J32" s="37"/>
      <c r="K32" s="37"/>
      <c r="L32" s="37"/>
      <c r="M32" s="37"/>
      <c r="N32" s="37"/>
      <c r="O32" s="37"/>
      <c r="P32" s="37"/>
      <c r="Q32" s="40" t="s">
        <v>41</v>
      </c>
      <c r="R32" s="40"/>
      <c r="S32" s="40"/>
      <c r="T32" s="41">
        <f>IF(COUNTIF(改修詳細!E:E,Q32)=0,"-",COUNTIF(改修詳細!E:E,Q32))</f>
        <v>2</v>
      </c>
      <c r="U32" s="41"/>
      <c r="V32" s="41"/>
      <c r="W32" s="41"/>
      <c r="X32" s="44" t="s">
        <v>42</v>
      </c>
      <c r="Y32" s="44"/>
      <c r="Z32" s="44"/>
      <c r="AA32" s="44"/>
      <c r="AB32" s="44"/>
      <c r="AC32" s="44"/>
      <c r="AD32" s="44"/>
      <c r="AE32" s="44"/>
      <c r="AF32" s="44"/>
      <c r="AG32" s="44"/>
      <c r="AH32" s="44"/>
      <c r="AI32" s="46" t="s">
        <v>43</v>
      </c>
      <c r="AJ32" s="46"/>
      <c r="AK32" s="46"/>
      <c r="AL32" s="46"/>
      <c r="AM32" s="46"/>
      <c r="AN32" s="46"/>
      <c r="AO32" s="46"/>
      <c r="AP32" s="46"/>
      <c r="AQ32" s="46"/>
      <c r="AR32" s="46"/>
      <c r="AS32" s="46"/>
    </row>
    <row r="33" ht="22" customHeight="1" spans="2:45">
      <c r="B33" s="35"/>
      <c r="C33" s="35"/>
      <c r="D33" s="35"/>
      <c r="E33" s="35"/>
      <c r="F33" s="35"/>
      <c r="G33" s="35"/>
      <c r="H33" s="37" t="s">
        <v>44</v>
      </c>
      <c r="I33" s="37"/>
      <c r="J33" s="37"/>
      <c r="K33" s="37"/>
      <c r="L33" s="37"/>
      <c r="M33" s="37"/>
      <c r="N33" s="37"/>
      <c r="O33" s="37"/>
      <c r="P33" s="37"/>
      <c r="Q33" s="40" t="s">
        <v>45</v>
      </c>
      <c r="R33" s="40"/>
      <c r="S33" s="40"/>
      <c r="T33" s="41">
        <f>IF(COUNTIF(改修詳細!E:E,Q33)=0,"-",COUNTIF(改修詳細!E:E,Q33))</f>
        <v>4</v>
      </c>
      <c r="U33" s="41"/>
      <c r="V33" s="41"/>
      <c r="W33" s="41"/>
      <c r="X33" s="44" t="s">
        <v>46</v>
      </c>
      <c r="Y33" s="44"/>
      <c r="Z33" s="44"/>
      <c r="AA33" s="44"/>
      <c r="AB33" s="44"/>
      <c r="AC33" s="44"/>
      <c r="AD33" s="44"/>
      <c r="AE33" s="44"/>
      <c r="AF33" s="44"/>
      <c r="AG33" s="44"/>
      <c r="AH33" s="44"/>
      <c r="AI33" s="45"/>
      <c r="AJ33" s="45"/>
      <c r="AK33" s="45"/>
      <c r="AL33" s="45"/>
      <c r="AM33" s="45"/>
      <c r="AN33" s="45"/>
      <c r="AO33" s="45"/>
      <c r="AP33" s="45"/>
      <c r="AQ33" s="45"/>
      <c r="AR33" s="45"/>
      <c r="AS33" s="45"/>
    </row>
    <row r="34" spans="2:45">
      <c r="B34" s="35" t="s">
        <v>47</v>
      </c>
      <c r="C34" s="35"/>
      <c r="D34" s="35"/>
      <c r="E34" s="35"/>
      <c r="F34" s="35"/>
      <c r="G34" s="35"/>
      <c r="H34" s="37" t="s">
        <v>28</v>
      </c>
      <c r="I34" s="37"/>
      <c r="J34" s="37"/>
      <c r="K34" s="37"/>
      <c r="L34" s="37"/>
      <c r="M34" s="37"/>
      <c r="N34" s="37"/>
      <c r="O34" s="37"/>
      <c r="P34" s="37"/>
      <c r="Q34" s="40" t="s">
        <v>48</v>
      </c>
      <c r="R34" s="40"/>
      <c r="S34" s="40"/>
      <c r="T34" s="41" t="str">
        <f>IF(COUNTIF(改修詳細!E:E,Q34)=0,"-",COUNTIF(改修詳細!E:E,Q34))</f>
        <v>-</v>
      </c>
      <c r="U34" s="41"/>
      <c r="V34" s="41"/>
      <c r="W34" s="41"/>
      <c r="X34" s="44" t="s">
        <v>49</v>
      </c>
      <c r="Y34" s="44"/>
      <c r="Z34" s="44"/>
      <c r="AA34" s="44"/>
      <c r="AB34" s="44"/>
      <c r="AC34" s="44"/>
      <c r="AD34" s="44"/>
      <c r="AE34" s="44"/>
      <c r="AF34" s="44"/>
      <c r="AG34" s="44"/>
      <c r="AH34" s="44"/>
      <c r="AI34" s="36"/>
      <c r="AJ34" s="36"/>
      <c r="AK34" s="36"/>
      <c r="AL34" s="36"/>
      <c r="AM34" s="36"/>
      <c r="AN34" s="36"/>
      <c r="AO34" s="36"/>
      <c r="AP34" s="36"/>
      <c r="AQ34" s="36"/>
      <c r="AR34" s="36"/>
      <c r="AS34" s="36"/>
    </row>
    <row r="35" ht="35" customHeight="1" spans="2:45">
      <c r="B35" s="35"/>
      <c r="C35" s="35"/>
      <c r="D35" s="35"/>
      <c r="E35" s="35"/>
      <c r="F35" s="35"/>
      <c r="G35" s="35"/>
      <c r="H35" s="37" t="s">
        <v>31</v>
      </c>
      <c r="I35" s="37"/>
      <c r="J35" s="37"/>
      <c r="K35" s="37"/>
      <c r="L35" s="37"/>
      <c r="M35" s="37"/>
      <c r="N35" s="37"/>
      <c r="O35" s="37"/>
      <c r="P35" s="37"/>
      <c r="Q35" s="40" t="s">
        <v>50</v>
      </c>
      <c r="R35" s="40"/>
      <c r="S35" s="40"/>
      <c r="T35" s="41">
        <f>IF(COUNTIF(改修詳細!E:E,Q35)=0,"-",COUNTIF(改修詳細!E:E,Q35))</f>
        <v>1</v>
      </c>
      <c r="U35" s="41"/>
      <c r="V35" s="41"/>
      <c r="W35" s="41"/>
      <c r="X35" s="44" t="s">
        <v>51</v>
      </c>
      <c r="Y35" s="44"/>
      <c r="Z35" s="44"/>
      <c r="AA35" s="44"/>
      <c r="AB35" s="44"/>
      <c r="AC35" s="44"/>
      <c r="AD35" s="44"/>
      <c r="AE35" s="44"/>
      <c r="AF35" s="44"/>
      <c r="AG35" s="44"/>
      <c r="AH35" s="44"/>
      <c r="AI35" s="36"/>
      <c r="AJ35" s="36"/>
      <c r="AK35" s="36"/>
      <c r="AL35" s="36"/>
      <c r="AM35" s="36"/>
      <c r="AN35" s="36"/>
      <c r="AO35" s="36"/>
      <c r="AP35" s="36"/>
      <c r="AQ35" s="36"/>
      <c r="AR35" s="36"/>
      <c r="AS35" s="36"/>
    </row>
    <row r="36" spans="2:45">
      <c r="B36" s="35"/>
      <c r="C36" s="35"/>
      <c r="D36" s="35"/>
      <c r="E36" s="35"/>
      <c r="F36" s="35"/>
      <c r="G36" s="35"/>
      <c r="H36" s="37" t="s">
        <v>34</v>
      </c>
      <c r="I36" s="37"/>
      <c r="J36" s="37"/>
      <c r="K36" s="37"/>
      <c r="L36" s="37"/>
      <c r="M36" s="37"/>
      <c r="N36" s="37"/>
      <c r="O36" s="37"/>
      <c r="P36" s="37"/>
      <c r="Q36" s="40" t="s">
        <v>52</v>
      </c>
      <c r="R36" s="40"/>
      <c r="S36" s="40"/>
      <c r="T36" s="41" t="str">
        <f>IF(COUNTIF(改修詳細!E:E,Q36)=0,"-",COUNTIF(改修詳細!E:E,Q36))</f>
        <v>-</v>
      </c>
      <c r="U36" s="41"/>
      <c r="V36" s="41"/>
      <c r="W36" s="41"/>
      <c r="X36" s="44" t="s">
        <v>49</v>
      </c>
      <c r="Y36" s="44"/>
      <c r="Z36" s="44"/>
      <c r="AA36" s="44"/>
      <c r="AB36" s="44"/>
      <c r="AC36" s="44"/>
      <c r="AD36" s="44"/>
      <c r="AE36" s="44"/>
      <c r="AF36" s="44"/>
      <c r="AG36" s="44"/>
      <c r="AH36" s="44"/>
      <c r="AI36" s="36"/>
      <c r="AJ36" s="36"/>
      <c r="AK36" s="36"/>
      <c r="AL36" s="36"/>
      <c r="AM36" s="36"/>
      <c r="AN36" s="36"/>
      <c r="AO36" s="36"/>
      <c r="AP36" s="36"/>
      <c r="AQ36" s="36"/>
      <c r="AR36" s="36"/>
      <c r="AS36" s="36"/>
    </row>
    <row r="37" spans="2:45">
      <c r="B37" s="35"/>
      <c r="C37" s="35"/>
      <c r="D37" s="35"/>
      <c r="E37" s="35"/>
      <c r="F37" s="35"/>
      <c r="G37" s="35"/>
      <c r="H37" s="37" t="s">
        <v>37</v>
      </c>
      <c r="I37" s="37"/>
      <c r="J37" s="37"/>
      <c r="K37" s="37"/>
      <c r="L37" s="37"/>
      <c r="M37" s="37"/>
      <c r="N37" s="37"/>
      <c r="O37" s="37"/>
      <c r="P37" s="37"/>
      <c r="Q37" s="40" t="s">
        <v>52</v>
      </c>
      <c r="R37" s="40"/>
      <c r="S37" s="40"/>
      <c r="T37" s="41" t="str">
        <f>IF(COUNTIF(改修詳細!E:E,Q37)=0,"-",COUNTIF(改修詳細!E:E,Q37))</f>
        <v>-</v>
      </c>
      <c r="U37" s="41"/>
      <c r="V37" s="41"/>
      <c r="W37" s="41"/>
      <c r="X37" s="44" t="s">
        <v>49</v>
      </c>
      <c r="Y37" s="44"/>
      <c r="Z37" s="44"/>
      <c r="AA37" s="44"/>
      <c r="AB37" s="44"/>
      <c r="AC37" s="44"/>
      <c r="AD37" s="44"/>
      <c r="AE37" s="44"/>
      <c r="AF37" s="44"/>
      <c r="AG37" s="44"/>
      <c r="AH37" s="44"/>
      <c r="AI37" s="36"/>
      <c r="AJ37" s="36"/>
      <c r="AK37" s="36"/>
      <c r="AL37" s="36"/>
      <c r="AM37" s="36"/>
      <c r="AN37" s="36"/>
      <c r="AO37" s="36"/>
      <c r="AP37" s="36"/>
      <c r="AQ37" s="36"/>
      <c r="AR37" s="36"/>
      <c r="AS37" s="36"/>
    </row>
    <row r="38" spans="2:45">
      <c r="B38" s="35"/>
      <c r="C38" s="35"/>
      <c r="D38" s="35"/>
      <c r="E38" s="35"/>
      <c r="F38" s="35"/>
      <c r="G38" s="35"/>
      <c r="H38" s="37" t="s">
        <v>40</v>
      </c>
      <c r="I38" s="37"/>
      <c r="J38" s="37"/>
      <c r="K38" s="37"/>
      <c r="L38" s="37"/>
      <c r="M38" s="37"/>
      <c r="N38" s="37"/>
      <c r="O38" s="37"/>
      <c r="P38" s="37"/>
      <c r="Q38" s="40" t="s">
        <v>53</v>
      </c>
      <c r="R38" s="40"/>
      <c r="S38" s="40"/>
      <c r="T38" s="41" t="str">
        <f>IF(COUNTIF(改修詳細!E:E,Q38)=0,"-",COUNTIF(改修詳細!E:E,Q38))</f>
        <v>-</v>
      </c>
      <c r="U38" s="41"/>
      <c r="V38" s="41"/>
      <c r="W38" s="41"/>
      <c r="X38" s="44" t="s">
        <v>49</v>
      </c>
      <c r="Y38" s="44"/>
      <c r="Z38" s="44"/>
      <c r="AA38" s="44"/>
      <c r="AB38" s="44"/>
      <c r="AC38" s="44"/>
      <c r="AD38" s="44"/>
      <c r="AE38" s="44"/>
      <c r="AF38" s="44"/>
      <c r="AG38" s="44"/>
      <c r="AH38" s="44"/>
      <c r="AI38" s="36"/>
      <c r="AJ38" s="36"/>
      <c r="AK38" s="36"/>
      <c r="AL38" s="36"/>
      <c r="AM38" s="36"/>
      <c r="AN38" s="36"/>
      <c r="AO38" s="36"/>
      <c r="AP38" s="36"/>
      <c r="AQ38" s="36"/>
      <c r="AR38" s="36"/>
      <c r="AS38" s="36"/>
    </row>
    <row r="39" spans="2:45">
      <c r="B39" s="35"/>
      <c r="C39" s="35"/>
      <c r="D39" s="35"/>
      <c r="E39" s="35"/>
      <c r="F39" s="35"/>
      <c r="G39" s="35"/>
      <c r="H39" s="37" t="s">
        <v>44</v>
      </c>
      <c r="I39" s="37"/>
      <c r="J39" s="37"/>
      <c r="K39" s="37"/>
      <c r="L39" s="37"/>
      <c r="M39" s="37"/>
      <c r="N39" s="37"/>
      <c r="O39" s="37"/>
      <c r="P39" s="37"/>
      <c r="Q39" s="40" t="s">
        <v>54</v>
      </c>
      <c r="R39" s="40"/>
      <c r="S39" s="40"/>
      <c r="T39" s="41" t="str">
        <f>IF(COUNTIF(改修詳細!E:E,Q39)=0,"-",COUNTIF(改修詳細!E:E,Q39))</f>
        <v>-</v>
      </c>
      <c r="U39" s="41"/>
      <c r="V39" s="41"/>
      <c r="W39" s="41"/>
      <c r="X39" s="44" t="s">
        <v>49</v>
      </c>
      <c r="Y39" s="44"/>
      <c r="Z39" s="44"/>
      <c r="AA39" s="44"/>
      <c r="AB39" s="44"/>
      <c r="AC39" s="44"/>
      <c r="AD39" s="44"/>
      <c r="AE39" s="44"/>
      <c r="AF39" s="44"/>
      <c r="AG39" s="44"/>
      <c r="AH39" s="44"/>
      <c r="AI39" s="36"/>
      <c r="AJ39" s="36"/>
      <c r="AK39" s="36"/>
      <c r="AL39" s="36"/>
      <c r="AM39" s="36"/>
      <c r="AN39" s="36"/>
      <c r="AO39" s="36"/>
      <c r="AP39" s="36"/>
      <c r="AQ39" s="36"/>
      <c r="AR39" s="36"/>
      <c r="AS39" s="36"/>
    </row>
    <row r="40" ht="23" customHeight="1" spans="2:45">
      <c r="B40" s="35" t="s">
        <v>55</v>
      </c>
      <c r="C40" s="35"/>
      <c r="D40" s="35"/>
      <c r="E40" s="35"/>
      <c r="F40" s="35"/>
      <c r="G40" s="35"/>
      <c r="H40" s="37" t="s">
        <v>28</v>
      </c>
      <c r="I40" s="37"/>
      <c r="J40" s="37"/>
      <c r="K40" s="37"/>
      <c r="L40" s="37"/>
      <c r="M40" s="37"/>
      <c r="N40" s="37"/>
      <c r="O40" s="37"/>
      <c r="P40" s="37"/>
      <c r="Q40" s="40" t="s">
        <v>56</v>
      </c>
      <c r="R40" s="40"/>
      <c r="S40" s="40"/>
      <c r="T40" s="41">
        <f>IF(COUNTIF(改修詳細!E:E,Q40)=0,"-",COUNTIF(改修詳細!E:E,Q40))</f>
        <v>2</v>
      </c>
      <c r="U40" s="41"/>
      <c r="V40" s="41"/>
      <c r="W40" s="41"/>
      <c r="X40" s="44" t="s">
        <v>57</v>
      </c>
      <c r="Y40" s="44"/>
      <c r="Z40" s="44"/>
      <c r="AA40" s="44"/>
      <c r="AB40" s="44"/>
      <c r="AC40" s="44"/>
      <c r="AD40" s="44"/>
      <c r="AE40" s="44"/>
      <c r="AF40" s="44"/>
      <c r="AG40" s="44"/>
      <c r="AH40" s="44"/>
      <c r="AI40" s="36"/>
      <c r="AJ40" s="36"/>
      <c r="AK40" s="36"/>
      <c r="AL40" s="36"/>
      <c r="AM40" s="36"/>
      <c r="AN40" s="36"/>
      <c r="AO40" s="36"/>
      <c r="AP40" s="36"/>
      <c r="AQ40" s="36"/>
      <c r="AR40" s="36"/>
      <c r="AS40" s="36"/>
    </row>
    <row r="41" spans="2:45">
      <c r="B41" s="35"/>
      <c r="C41" s="35"/>
      <c r="D41" s="35"/>
      <c r="E41" s="35"/>
      <c r="F41" s="35"/>
      <c r="G41" s="35"/>
      <c r="H41" s="37" t="s">
        <v>31</v>
      </c>
      <c r="I41" s="37"/>
      <c r="J41" s="37"/>
      <c r="K41" s="37"/>
      <c r="L41" s="37"/>
      <c r="M41" s="37"/>
      <c r="N41" s="37"/>
      <c r="O41" s="37"/>
      <c r="P41" s="37"/>
      <c r="Q41" s="40" t="s">
        <v>58</v>
      </c>
      <c r="R41" s="40"/>
      <c r="S41" s="40"/>
      <c r="T41" s="41" t="str">
        <f>IF(COUNTIF(改修詳細!E:E,Q41)=0,"-",COUNTIF(改修詳細!E:E,Q41))</f>
        <v>-</v>
      </c>
      <c r="U41" s="41"/>
      <c r="V41" s="41"/>
      <c r="W41" s="41"/>
      <c r="X41" s="44" t="s">
        <v>49</v>
      </c>
      <c r="Y41" s="44"/>
      <c r="Z41" s="44"/>
      <c r="AA41" s="44"/>
      <c r="AB41" s="44"/>
      <c r="AC41" s="44"/>
      <c r="AD41" s="44"/>
      <c r="AE41" s="44"/>
      <c r="AF41" s="44"/>
      <c r="AG41" s="44"/>
      <c r="AH41" s="44"/>
      <c r="AI41" s="36"/>
      <c r="AJ41" s="36"/>
      <c r="AK41" s="36"/>
      <c r="AL41" s="36"/>
      <c r="AM41" s="36"/>
      <c r="AN41" s="36"/>
      <c r="AO41" s="36"/>
      <c r="AP41" s="36"/>
      <c r="AQ41" s="36"/>
      <c r="AR41" s="36"/>
      <c r="AS41" s="36"/>
    </row>
    <row r="42" spans="2:45">
      <c r="B42" s="35"/>
      <c r="C42" s="35"/>
      <c r="D42" s="35"/>
      <c r="E42" s="35"/>
      <c r="F42" s="35"/>
      <c r="G42" s="35"/>
      <c r="H42" s="37" t="s">
        <v>34</v>
      </c>
      <c r="I42" s="37"/>
      <c r="J42" s="37"/>
      <c r="K42" s="37"/>
      <c r="L42" s="37"/>
      <c r="M42" s="37"/>
      <c r="N42" s="37"/>
      <c r="O42" s="37"/>
      <c r="P42" s="37"/>
      <c r="Q42" s="40" t="s">
        <v>59</v>
      </c>
      <c r="R42" s="40"/>
      <c r="S42" s="40"/>
      <c r="T42" s="41" t="str">
        <f>IF(COUNTIF(改修詳細!E:E,Q42)=0,"-",COUNTIF(改修詳細!E:E,Q42))</f>
        <v>-</v>
      </c>
      <c r="U42" s="41"/>
      <c r="V42" s="41"/>
      <c r="W42" s="41"/>
      <c r="X42" s="44" t="s">
        <v>49</v>
      </c>
      <c r="Y42" s="44"/>
      <c r="Z42" s="44"/>
      <c r="AA42" s="44"/>
      <c r="AB42" s="44"/>
      <c r="AC42" s="44"/>
      <c r="AD42" s="44"/>
      <c r="AE42" s="44"/>
      <c r="AF42" s="44"/>
      <c r="AG42" s="44"/>
      <c r="AH42" s="44"/>
      <c r="AI42" s="36"/>
      <c r="AJ42" s="36"/>
      <c r="AK42" s="36"/>
      <c r="AL42" s="36"/>
      <c r="AM42" s="36"/>
      <c r="AN42" s="36"/>
      <c r="AO42" s="36"/>
      <c r="AP42" s="36"/>
      <c r="AQ42" s="36"/>
      <c r="AR42" s="36"/>
      <c r="AS42" s="36"/>
    </row>
    <row r="43" spans="2:45">
      <c r="B43" s="35"/>
      <c r="C43" s="35"/>
      <c r="D43" s="35"/>
      <c r="E43" s="35"/>
      <c r="F43" s="35"/>
      <c r="G43" s="35"/>
      <c r="H43" s="37" t="s">
        <v>37</v>
      </c>
      <c r="I43" s="37"/>
      <c r="J43" s="37"/>
      <c r="K43" s="37"/>
      <c r="L43" s="37"/>
      <c r="M43" s="37"/>
      <c r="N43" s="37"/>
      <c r="O43" s="37"/>
      <c r="P43" s="37"/>
      <c r="Q43" s="40" t="s">
        <v>59</v>
      </c>
      <c r="R43" s="40"/>
      <c r="S43" s="40"/>
      <c r="T43" s="41" t="str">
        <f>IF(COUNTIF(改修詳細!E:E,Q43)=0,"-",COUNTIF(改修詳細!E:E,Q43))</f>
        <v>-</v>
      </c>
      <c r="U43" s="41"/>
      <c r="V43" s="41"/>
      <c r="W43" s="41"/>
      <c r="X43" s="44" t="s">
        <v>49</v>
      </c>
      <c r="Y43" s="44"/>
      <c r="Z43" s="44"/>
      <c r="AA43" s="44"/>
      <c r="AB43" s="44"/>
      <c r="AC43" s="44"/>
      <c r="AD43" s="44"/>
      <c r="AE43" s="44"/>
      <c r="AF43" s="44"/>
      <c r="AG43" s="44"/>
      <c r="AH43" s="44"/>
      <c r="AI43" s="36"/>
      <c r="AJ43" s="36"/>
      <c r="AK43" s="36"/>
      <c r="AL43" s="36"/>
      <c r="AM43" s="36"/>
      <c r="AN43" s="36"/>
      <c r="AO43" s="36"/>
      <c r="AP43" s="36"/>
      <c r="AQ43" s="36"/>
      <c r="AR43" s="36"/>
      <c r="AS43" s="36"/>
    </row>
    <row r="44" ht="36" customHeight="1" spans="2:45">
      <c r="B44" s="35"/>
      <c r="C44" s="35"/>
      <c r="D44" s="35"/>
      <c r="E44" s="35"/>
      <c r="F44" s="35"/>
      <c r="G44" s="35"/>
      <c r="H44" s="37" t="s">
        <v>40</v>
      </c>
      <c r="I44" s="37"/>
      <c r="J44" s="37"/>
      <c r="K44" s="37"/>
      <c r="L44" s="37"/>
      <c r="M44" s="37"/>
      <c r="N44" s="37"/>
      <c r="O44" s="37"/>
      <c r="P44" s="37"/>
      <c r="Q44" s="40" t="s">
        <v>60</v>
      </c>
      <c r="R44" s="40"/>
      <c r="S44" s="40"/>
      <c r="T44" s="41">
        <f>IF(COUNTIF(改修詳細!E:E,Q44)=0,"-",COUNTIF(改修詳細!E:E,Q44))</f>
        <v>1</v>
      </c>
      <c r="U44" s="41"/>
      <c r="V44" s="41"/>
      <c r="W44" s="41"/>
      <c r="X44" s="44" t="s">
        <v>61</v>
      </c>
      <c r="Y44" s="44"/>
      <c r="Z44" s="44"/>
      <c r="AA44" s="44"/>
      <c r="AB44" s="44"/>
      <c r="AC44" s="44"/>
      <c r="AD44" s="44"/>
      <c r="AE44" s="44"/>
      <c r="AF44" s="44"/>
      <c r="AG44" s="44"/>
      <c r="AH44" s="44"/>
      <c r="AI44" s="36"/>
      <c r="AJ44" s="36"/>
      <c r="AK44" s="36"/>
      <c r="AL44" s="36"/>
      <c r="AM44" s="36"/>
      <c r="AN44" s="36"/>
      <c r="AO44" s="36"/>
      <c r="AP44" s="36"/>
      <c r="AQ44" s="36"/>
      <c r="AR44" s="36"/>
      <c r="AS44" s="36"/>
    </row>
    <row r="45" spans="2:45">
      <c r="B45" s="35"/>
      <c r="C45" s="35"/>
      <c r="D45" s="35"/>
      <c r="E45" s="35"/>
      <c r="F45" s="35"/>
      <c r="G45" s="35"/>
      <c r="H45" s="37" t="s">
        <v>44</v>
      </c>
      <c r="I45" s="37"/>
      <c r="J45" s="37"/>
      <c r="K45" s="37"/>
      <c r="L45" s="37"/>
      <c r="M45" s="37"/>
      <c r="N45" s="37"/>
      <c r="O45" s="37"/>
      <c r="P45" s="37"/>
      <c r="Q45" s="40" t="s">
        <v>62</v>
      </c>
      <c r="R45" s="40"/>
      <c r="S45" s="40"/>
      <c r="T45" s="41" t="str">
        <f>IF(COUNTIF(改修詳細!E:E,Q45)=0,"-",COUNTIF(改修詳細!E:E,Q45))</f>
        <v>-</v>
      </c>
      <c r="U45" s="41"/>
      <c r="V45" s="41"/>
      <c r="W45" s="41"/>
      <c r="X45" s="44" t="s">
        <v>49</v>
      </c>
      <c r="Y45" s="44"/>
      <c r="Z45" s="44"/>
      <c r="AA45" s="44"/>
      <c r="AB45" s="44"/>
      <c r="AC45" s="44"/>
      <c r="AD45" s="44"/>
      <c r="AE45" s="44"/>
      <c r="AF45" s="44"/>
      <c r="AG45" s="44"/>
      <c r="AH45" s="44"/>
      <c r="AI45" s="36"/>
      <c r="AJ45" s="36"/>
      <c r="AK45" s="36"/>
      <c r="AL45" s="36"/>
      <c r="AM45" s="36"/>
      <c r="AN45" s="36"/>
      <c r="AO45" s="36"/>
      <c r="AP45" s="36"/>
      <c r="AQ45" s="36"/>
      <c r="AR45" s="36"/>
      <c r="AS45" s="36"/>
    </row>
    <row r="46" ht="35" customHeight="1" spans="2:45">
      <c r="B46" s="35" t="s">
        <v>63</v>
      </c>
      <c r="C46" s="35"/>
      <c r="D46" s="35"/>
      <c r="E46" s="35"/>
      <c r="F46" s="35"/>
      <c r="G46" s="35"/>
      <c r="H46" s="37" t="s">
        <v>28</v>
      </c>
      <c r="I46" s="37"/>
      <c r="J46" s="37"/>
      <c r="K46" s="37"/>
      <c r="L46" s="37"/>
      <c r="M46" s="37"/>
      <c r="N46" s="37"/>
      <c r="O46" s="37"/>
      <c r="P46" s="37"/>
      <c r="Q46" s="40" t="s">
        <v>64</v>
      </c>
      <c r="R46" s="40"/>
      <c r="S46" s="40"/>
      <c r="T46" s="41">
        <f>IF(COUNTIF(改修詳細!E:E,Q46)=0,"-",COUNTIF(改修詳細!E:E,Q46))</f>
        <v>1</v>
      </c>
      <c r="U46" s="41"/>
      <c r="V46" s="41"/>
      <c r="W46" s="41"/>
      <c r="X46" s="44" t="s">
        <v>65</v>
      </c>
      <c r="Y46" s="44"/>
      <c r="Z46" s="44"/>
      <c r="AA46" s="44"/>
      <c r="AB46" s="44"/>
      <c r="AC46" s="44"/>
      <c r="AD46" s="44"/>
      <c r="AE46" s="44"/>
      <c r="AF46" s="44"/>
      <c r="AG46" s="44"/>
      <c r="AH46" s="44"/>
      <c r="AI46" s="36"/>
      <c r="AJ46" s="36"/>
      <c r="AK46" s="36"/>
      <c r="AL46" s="36"/>
      <c r="AM46" s="36"/>
      <c r="AN46" s="36"/>
      <c r="AO46" s="36"/>
      <c r="AP46" s="36"/>
      <c r="AQ46" s="36"/>
      <c r="AR46" s="36"/>
      <c r="AS46" s="36"/>
    </row>
    <row r="47" ht="23" customHeight="1" spans="2:45">
      <c r="B47" s="35"/>
      <c r="C47" s="35"/>
      <c r="D47" s="35"/>
      <c r="E47" s="35"/>
      <c r="F47" s="35"/>
      <c r="G47" s="35"/>
      <c r="H47" s="37" t="s">
        <v>31</v>
      </c>
      <c r="I47" s="37"/>
      <c r="J47" s="37"/>
      <c r="K47" s="37"/>
      <c r="L47" s="37"/>
      <c r="M47" s="37"/>
      <c r="N47" s="37"/>
      <c r="O47" s="37"/>
      <c r="P47" s="37"/>
      <c r="Q47" s="40" t="s">
        <v>66</v>
      </c>
      <c r="R47" s="40"/>
      <c r="S47" s="40"/>
      <c r="T47" s="41">
        <f>IF(COUNTIF(改修詳細!E:E,Q47)=0,"-",COUNTIF(改修詳細!E:E,Q47))</f>
        <v>2</v>
      </c>
      <c r="U47" s="41"/>
      <c r="V47" s="41"/>
      <c r="W47" s="41"/>
      <c r="X47" s="44" t="s">
        <v>67</v>
      </c>
      <c r="Y47" s="44"/>
      <c r="Z47" s="44"/>
      <c r="AA47" s="44"/>
      <c r="AB47" s="44"/>
      <c r="AC47" s="44"/>
      <c r="AD47" s="44"/>
      <c r="AE47" s="44"/>
      <c r="AF47" s="44"/>
      <c r="AG47" s="44"/>
      <c r="AH47" s="44"/>
      <c r="AI47" s="36"/>
      <c r="AJ47" s="36"/>
      <c r="AK47" s="36"/>
      <c r="AL47" s="36"/>
      <c r="AM47" s="36"/>
      <c r="AN47" s="36"/>
      <c r="AO47" s="36"/>
      <c r="AP47" s="36"/>
      <c r="AQ47" s="36"/>
      <c r="AR47" s="36"/>
      <c r="AS47" s="36"/>
    </row>
    <row r="48" spans="2:45">
      <c r="B48" s="35"/>
      <c r="C48" s="35"/>
      <c r="D48" s="35"/>
      <c r="E48" s="35"/>
      <c r="F48" s="35"/>
      <c r="G48" s="35"/>
      <c r="H48" s="37" t="s">
        <v>34</v>
      </c>
      <c r="I48" s="37"/>
      <c r="J48" s="37"/>
      <c r="K48" s="37"/>
      <c r="L48" s="37"/>
      <c r="M48" s="37"/>
      <c r="N48" s="37"/>
      <c r="O48" s="37"/>
      <c r="P48" s="37"/>
      <c r="Q48" s="40" t="s">
        <v>68</v>
      </c>
      <c r="R48" s="40"/>
      <c r="S48" s="40"/>
      <c r="T48" s="41" t="str">
        <f>IF(COUNTIF(改修詳細!E:E,Q48)=0,"-",COUNTIF(改修詳細!E:E,Q48))</f>
        <v>-</v>
      </c>
      <c r="U48" s="41"/>
      <c r="V48" s="41"/>
      <c r="W48" s="41"/>
      <c r="X48" s="44" t="s">
        <v>49</v>
      </c>
      <c r="Y48" s="44"/>
      <c r="Z48" s="44"/>
      <c r="AA48" s="44"/>
      <c r="AB48" s="44"/>
      <c r="AC48" s="44"/>
      <c r="AD48" s="44"/>
      <c r="AE48" s="44"/>
      <c r="AF48" s="44"/>
      <c r="AG48" s="44"/>
      <c r="AH48" s="44"/>
      <c r="AI48" s="36"/>
      <c r="AJ48" s="36"/>
      <c r="AK48" s="36"/>
      <c r="AL48" s="36"/>
      <c r="AM48" s="36"/>
      <c r="AN48" s="36"/>
      <c r="AO48" s="36"/>
      <c r="AP48" s="36"/>
      <c r="AQ48" s="36"/>
      <c r="AR48" s="36"/>
      <c r="AS48" s="36"/>
    </row>
    <row r="49" ht="21" customHeight="1" spans="2:45">
      <c r="B49" s="35"/>
      <c r="C49" s="35"/>
      <c r="D49" s="35"/>
      <c r="E49" s="35"/>
      <c r="F49" s="35"/>
      <c r="G49" s="35"/>
      <c r="H49" s="37" t="s">
        <v>37</v>
      </c>
      <c r="I49" s="37"/>
      <c r="J49" s="37"/>
      <c r="K49" s="37"/>
      <c r="L49" s="37"/>
      <c r="M49" s="37"/>
      <c r="N49" s="37"/>
      <c r="O49" s="37"/>
      <c r="P49" s="37"/>
      <c r="Q49" s="40" t="s">
        <v>69</v>
      </c>
      <c r="R49" s="40"/>
      <c r="S49" s="40"/>
      <c r="T49" s="41">
        <f>IF(COUNTIF(改修詳細!E:E,Q49)=0,"-",COUNTIF(改修詳細!E:E,Q49))</f>
        <v>1</v>
      </c>
      <c r="U49" s="41"/>
      <c r="V49" s="41"/>
      <c r="W49" s="41"/>
      <c r="X49" s="44" t="s">
        <v>70</v>
      </c>
      <c r="Y49" s="44"/>
      <c r="Z49" s="44"/>
      <c r="AA49" s="44"/>
      <c r="AB49" s="44"/>
      <c r="AC49" s="44"/>
      <c r="AD49" s="44"/>
      <c r="AE49" s="44"/>
      <c r="AF49" s="44"/>
      <c r="AG49" s="44"/>
      <c r="AH49" s="44"/>
      <c r="AI49" s="36"/>
      <c r="AJ49" s="36"/>
      <c r="AK49" s="36"/>
      <c r="AL49" s="36"/>
      <c r="AM49" s="36"/>
      <c r="AN49" s="36"/>
      <c r="AO49" s="36"/>
      <c r="AP49" s="36"/>
      <c r="AQ49" s="36"/>
      <c r="AR49" s="36"/>
      <c r="AS49" s="36"/>
    </row>
    <row r="50" spans="2:45">
      <c r="B50" s="35"/>
      <c r="C50" s="35"/>
      <c r="D50" s="35"/>
      <c r="E50" s="35"/>
      <c r="F50" s="35"/>
      <c r="G50" s="35"/>
      <c r="H50" s="37" t="s">
        <v>40</v>
      </c>
      <c r="I50" s="37"/>
      <c r="J50" s="37"/>
      <c r="K50" s="37"/>
      <c r="L50" s="37"/>
      <c r="M50" s="37"/>
      <c r="N50" s="37"/>
      <c r="O50" s="37"/>
      <c r="P50" s="37"/>
      <c r="Q50" s="40" t="s">
        <v>71</v>
      </c>
      <c r="R50" s="40"/>
      <c r="S50" s="40"/>
      <c r="T50" s="41" t="str">
        <f>IF(COUNTIF(改修詳細!E:E,Q50)=0,"-",COUNTIF(改修詳細!E:E,Q50))</f>
        <v>-</v>
      </c>
      <c r="U50" s="41"/>
      <c r="V50" s="41"/>
      <c r="W50" s="41"/>
      <c r="X50" s="44" t="s">
        <v>49</v>
      </c>
      <c r="Y50" s="44"/>
      <c r="Z50" s="44"/>
      <c r="AA50" s="44"/>
      <c r="AB50" s="44"/>
      <c r="AC50" s="44"/>
      <c r="AD50" s="44"/>
      <c r="AE50" s="44"/>
      <c r="AF50" s="44"/>
      <c r="AG50" s="44"/>
      <c r="AH50" s="44"/>
      <c r="AI50" s="36"/>
      <c r="AJ50" s="36"/>
      <c r="AK50" s="36"/>
      <c r="AL50" s="36"/>
      <c r="AM50" s="36"/>
      <c r="AN50" s="36"/>
      <c r="AO50" s="36"/>
      <c r="AP50" s="36"/>
      <c r="AQ50" s="36"/>
      <c r="AR50" s="36"/>
      <c r="AS50" s="36"/>
    </row>
    <row r="51" spans="2:45">
      <c r="B51" s="35"/>
      <c r="C51" s="35"/>
      <c r="D51" s="35"/>
      <c r="E51" s="35"/>
      <c r="F51" s="35"/>
      <c r="G51" s="35"/>
      <c r="H51" s="37" t="s">
        <v>44</v>
      </c>
      <c r="I51" s="37"/>
      <c r="J51" s="37"/>
      <c r="K51" s="37"/>
      <c r="L51" s="37"/>
      <c r="M51" s="37"/>
      <c r="N51" s="37"/>
      <c r="O51" s="37"/>
      <c r="P51" s="37"/>
      <c r="Q51" s="40" t="s">
        <v>72</v>
      </c>
      <c r="R51" s="40"/>
      <c r="S51" s="40"/>
      <c r="T51" s="41" t="str">
        <f>IF(COUNTIF(改修詳細!E:E,Q51)=0,"-",COUNTIF(改修詳細!E:E,Q51))</f>
        <v>-</v>
      </c>
      <c r="U51" s="41"/>
      <c r="V51" s="41"/>
      <c r="W51" s="41"/>
      <c r="X51" s="44" t="s">
        <v>49</v>
      </c>
      <c r="Y51" s="44"/>
      <c r="Z51" s="44"/>
      <c r="AA51" s="44"/>
      <c r="AB51" s="44"/>
      <c r="AC51" s="44"/>
      <c r="AD51" s="44"/>
      <c r="AE51" s="44"/>
      <c r="AF51" s="44"/>
      <c r="AG51" s="44"/>
      <c r="AH51" s="44"/>
      <c r="AI51" s="36"/>
      <c r="AJ51" s="36"/>
      <c r="AK51" s="36"/>
      <c r="AL51" s="36"/>
      <c r="AM51" s="36"/>
      <c r="AN51" s="36"/>
      <c r="AO51" s="36"/>
      <c r="AP51" s="36"/>
      <c r="AQ51" s="36"/>
      <c r="AR51" s="36"/>
      <c r="AS51" s="36"/>
    </row>
    <row r="52" spans="2:45">
      <c r="B52" s="35"/>
      <c r="C52" s="35"/>
      <c r="D52" s="35"/>
      <c r="E52" s="35"/>
      <c r="F52" s="35"/>
      <c r="G52" s="35"/>
      <c r="H52" s="37" t="s">
        <v>73</v>
      </c>
      <c r="I52" s="37"/>
      <c r="J52" s="37"/>
      <c r="K52" s="37"/>
      <c r="L52" s="37"/>
      <c r="M52" s="37"/>
      <c r="N52" s="37"/>
      <c r="O52" s="37"/>
      <c r="P52" s="37"/>
      <c r="Q52" s="40" t="s">
        <v>74</v>
      </c>
      <c r="R52" s="40"/>
      <c r="S52" s="40"/>
      <c r="T52" s="41" t="str">
        <f>IF(COUNTIF(改修詳細!E:E,Q52)=0,"-",COUNTIF(改修詳細!E:E,Q52))</f>
        <v>-</v>
      </c>
      <c r="U52" s="41"/>
      <c r="V52" s="41"/>
      <c r="W52" s="41"/>
      <c r="X52" s="44" t="s">
        <v>49</v>
      </c>
      <c r="Y52" s="44"/>
      <c r="Z52" s="44"/>
      <c r="AA52" s="44"/>
      <c r="AB52" s="44"/>
      <c r="AC52" s="44"/>
      <c r="AD52" s="44"/>
      <c r="AE52" s="44"/>
      <c r="AF52" s="44"/>
      <c r="AG52" s="44"/>
      <c r="AH52" s="44"/>
      <c r="AI52" s="36"/>
      <c r="AJ52" s="36"/>
      <c r="AK52" s="36"/>
      <c r="AL52" s="36"/>
      <c r="AM52" s="36"/>
      <c r="AN52" s="36"/>
      <c r="AO52" s="36"/>
      <c r="AP52" s="36"/>
      <c r="AQ52" s="36"/>
      <c r="AR52" s="36"/>
      <c r="AS52" s="36"/>
    </row>
    <row r="53" ht="38" customHeight="1" spans="2:45">
      <c r="B53" s="35" t="s">
        <v>75</v>
      </c>
      <c r="C53" s="35"/>
      <c r="D53" s="35"/>
      <c r="E53" s="35"/>
      <c r="F53" s="35"/>
      <c r="G53" s="35"/>
      <c r="H53" s="37" t="s">
        <v>31</v>
      </c>
      <c r="I53" s="37"/>
      <c r="J53" s="37"/>
      <c r="K53" s="37"/>
      <c r="L53" s="37"/>
      <c r="M53" s="37"/>
      <c r="N53" s="37"/>
      <c r="O53" s="37"/>
      <c r="P53" s="37"/>
      <c r="Q53" s="42" t="s">
        <v>76</v>
      </c>
      <c r="R53" s="42"/>
      <c r="S53" s="42"/>
      <c r="T53" s="41">
        <f>IF(COUNTIF(改修詳細!E:E,Q53)=0,"-",COUNTIF(改修詳細!E:E,Q53))</f>
        <v>1</v>
      </c>
      <c r="U53" s="41"/>
      <c r="V53" s="41"/>
      <c r="W53" s="41"/>
      <c r="X53" s="44" t="s">
        <v>77</v>
      </c>
      <c r="Y53" s="44"/>
      <c r="Z53" s="44"/>
      <c r="AA53" s="44"/>
      <c r="AB53" s="44"/>
      <c r="AC53" s="44"/>
      <c r="AD53" s="44"/>
      <c r="AE53" s="44"/>
      <c r="AF53" s="44"/>
      <c r="AG53" s="44"/>
      <c r="AH53" s="44"/>
      <c r="AI53" s="45" t="s">
        <v>78</v>
      </c>
      <c r="AJ53" s="45"/>
      <c r="AK53" s="45"/>
      <c r="AL53" s="45"/>
      <c r="AM53" s="45"/>
      <c r="AN53" s="45"/>
      <c r="AO53" s="45"/>
      <c r="AP53" s="45"/>
      <c r="AQ53" s="45"/>
      <c r="AR53" s="45"/>
      <c r="AS53" s="45"/>
    </row>
    <row r="54" spans="2:45">
      <c r="B54" s="35"/>
      <c r="C54" s="35"/>
      <c r="D54" s="35"/>
      <c r="E54" s="35"/>
      <c r="F54" s="35"/>
      <c r="G54" s="35"/>
      <c r="H54" s="34" t="s">
        <v>34</v>
      </c>
      <c r="I54" s="34"/>
      <c r="J54" s="34"/>
      <c r="K54" s="34"/>
      <c r="L54" s="34"/>
      <c r="M54" s="34"/>
      <c r="N54" s="34"/>
      <c r="O54" s="34"/>
      <c r="P54" s="34"/>
      <c r="Q54" s="37" t="s">
        <v>79</v>
      </c>
      <c r="R54" s="37"/>
      <c r="S54" s="37"/>
      <c r="T54" s="41" t="str">
        <f>IF(COUNTIF(改修詳細!E:E,Q54)=0,"-",COUNTIF(改修詳細!E:E,Q54))</f>
        <v>-</v>
      </c>
      <c r="U54" s="41"/>
      <c r="V54" s="41"/>
      <c r="W54" s="41"/>
      <c r="X54" s="44" t="s">
        <v>49</v>
      </c>
      <c r="Y54" s="44"/>
      <c r="Z54" s="44"/>
      <c r="AA54" s="44"/>
      <c r="AB54" s="44"/>
      <c r="AC54" s="44"/>
      <c r="AD54" s="44"/>
      <c r="AE54" s="44"/>
      <c r="AF54" s="44"/>
      <c r="AG54" s="44"/>
      <c r="AH54" s="44"/>
      <c r="AI54" s="36"/>
      <c r="AJ54" s="36"/>
      <c r="AK54" s="36"/>
      <c r="AL54" s="36"/>
      <c r="AM54" s="36"/>
      <c r="AN54" s="36"/>
      <c r="AO54" s="36"/>
      <c r="AP54" s="36"/>
      <c r="AQ54" s="36"/>
      <c r="AR54" s="36"/>
      <c r="AS54" s="36"/>
    </row>
    <row r="55" spans="2:45">
      <c r="B55" s="35"/>
      <c r="C55" s="35"/>
      <c r="D55" s="35"/>
      <c r="E55" s="35"/>
      <c r="F55" s="35"/>
      <c r="G55" s="35"/>
      <c r="H55" s="37" t="s">
        <v>40</v>
      </c>
      <c r="I55" s="37"/>
      <c r="J55" s="37"/>
      <c r="K55" s="37"/>
      <c r="L55" s="37"/>
      <c r="M55" s="37"/>
      <c r="N55" s="37"/>
      <c r="O55" s="37"/>
      <c r="P55" s="37"/>
      <c r="Q55" s="43" t="s">
        <v>80</v>
      </c>
      <c r="R55" s="43"/>
      <c r="S55" s="43"/>
      <c r="T55" s="41" t="str">
        <f>IF(COUNTIF(改修詳細!E:E,Q55)=0,"-",COUNTIF(改修詳細!E:E,Q55))</f>
        <v>-</v>
      </c>
      <c r="U55" s="41"/>
      <c r="V55" s="41"/>
      <c r="W55" s="41"/>
      <c r="X55" s="44" t="s">
        <v>49</v>
      </c>
      <c r="Y55" s="44"/>
      <c r="Z55" s="44"/>
      <c r="AA55" s="44"/>
      <c r="AB55" s="44"/>
      <c r="AC55" s="44"/>
      <c r="AD55" s="44"/>
      <c r="AE55" s="44"/>
      <c r="AF55" s="44"/>
      <c r="AG55" s="44"/>
      <c r="AH55" s="44"/>
      <c r="AI55" s="36"/>
      <c r="AJ55" s="36"/>
      <c r="AK55" s="36"/>
      <c r="AL55" s="36"/>
      <c r="AM55" s="36"/>
      <c r="AN55" s="36"/>
      <c r="AO55" s="36"/>
      <c r="AP55" s="36"/>
      <c r="AQ55" s="36"/>
      <c r="AR55" s="36"/>
      <c r="AS55" s="36"/>
    </row>
    <row r="56" spans="2:45">
      <c r="B56" s="35" t="s">
        <v>81</v>
      </c>
      <c r="C56" s="35"/>
      <c r="D56" s="35"/>
      <c r="E56" s="35"/>
      <c r="F56" s="35"/>
      <c r="G56" s="35"/>
      <c r="H56" s="37" t="s">
        <v>27</v>
      </c>
      <c r="I56" s="37"/>
      <c r="J56" s="37"/>
      <c r="K56" s="37"/>
      <c r="L56" s="37"/>
      <c r="M56" s="37"/>
      <c r="N56" s="37"/>
      <c r="O56" s="37"/>
      <c r="P56" s="37"/>
      <c r="Q56" s="40" t="s">
        <v>82</v>
      </c>
      <c r="R56" s="40"/>
      <c r="S56" s="40"/>
      <c r="T56" s="41" t="str">
        <f>IF(COUNTIF(改修詳細!E:E,Q56)=0,"-",COUNTIF(改修詳細!E:E,Q56))</f>
        <v>-</v>
      </c>
      <c r="U56" s="41"/>
      <c r="V56" s="41"/>
      <c r="W56" s="41"/>
      <c r="X56" s="44" t="s">
        <v>49</v>
      </c>
      <c r="Y56" s="44"/>
      <c r="Z56" s="44"/>
      <c r="AA56" s="44"/>
      <c r="AB56" s="44"/>
      <c r="AC56" s="44"/>
      <c r="AD56" s="44"/>
      <c r="AE56" s="44"/>
      <c r="AF56" s="44"/>
      <c r="AG56" s="44"/>
      <c r="AH56" s="44"/>
      <c r="AI56" s="36"/>
      <c r="AJ56" s="36"/>
      <c r="AK56" s="36"/>
      <c r="AL56" s="36"/>
      <c r="AM56" s="36"/>
      <c r="AN56" s="36"/>
      <c r="AO56" s="36"/>
      <c r="AP56" s="36"/>
      <c r="AQ56" s="36"/>
      <c r="AR56" s="36"/>
      <c r="AS56" s="36"/>
    </row>
    <row r="57" spans="2:45">
      <c r="B57" s="35"/>
      <c r="C57" s="35"/>
      <c r="D57" s="35"/>
      <c r="E57" s="35"/>
      <c r="F57" s="35"/>
      <c r="G57" s="35"/>
      <c r="H57" s="37" t="s">
        <v>47</v>
      </c>
      <c r="I57" s="37"/>
      <c r="J57" s="37"/>
      <c r="K57" s="37"/>
      <c r="L57" s="37"/>
      <c r="M57" s="37"/>
      <c r="N57" s="37"/>
      <c r="O57" s="37"/>
      <c r="P57" s="37"/>
      <c r="Q57" s="40" t="s">
        <v>83</v>
      </c>
      <c r="R57" s="40"/>
      <c r="S57" s="40"/>
      <c r="T57" s="41" t="str">
        <f>IF(COUNTIF(改修詳細!E:E,Q57)=0,"-",COUNTIF(改修詳細!E:E,Q57))</f>
        <v>-</v>
      </c>
      <c r="U57" s="41"/>
      <c r="V57" s="41"/>
      <c r="W57" s="41"/>
      <c r="X57" s="44" t="s">
        <v>49</v>
      </c>
      <c r="Y57" s="44"/>
      <c r="Z57" s="44"/>
      <c r="AA57" s="44"/>
      <c r="AB57" s="44"/>
      <c r="AC57" s="44"/>
      <c r="AD57" s="44"/>
      <c r="AE57" s="44"/>
      <c r="AF57" s="44"/>
      <c r="AG57" s="44"/>
      <c r="AH57" s="44"/>
      <c r="AI57" s="36"/>
      <c r="AJ57" s="36"/>
      <c r="AK57" s="36"/>
      <c r="AL57" s="36"/>
      <c r="AM57" s="36"/>
      <c r="AN57" s="36"/>
      <c r="AO57" s="36"/>
      <c r="AP57" s="36"/>
      <c r="AQ57" s="36"/>
      <c r="AR57" s="36"/>
      <c r="AS57" s="36"/>
    </row>
    <row r="58" ht="39" customHeight="1" spans="2:45">
      <c r="B58" s="35"/>
      <c r="C58" s="35"/>
      <c r="D58" s="35"/>
      <c r="E58" s="35"/>
      <c r="F58" s="35"/>
      <c r="G58" s="35"/>
      <c r="H58" s="37" t="s">
        <v>55</v>
      </c>
      <c r="I58" s="37"/>
      <c r="J58" s="37"/>
      <c r="K58" s="37"/>
      <c r="L58" s="37"/>
      <c r="M58" s="37"/>
      <c r="N58" s="37"/>
      <c r="O58" s="37"/>
      <c r="P58" s="37"/>
      <c r="Q58" s="40" t="s">
        <v>84</v>
      </c>
      <c r="R58" s="40"/>
      <c r="S58" s="40"/>
      <c r="T58" s="41">
        <f>IF(COUNTIF(改修詳細!E:E,Q58)=0,"-",COUNTIF(改修詳細!E:E,Q58))</f>
        <v>1</v>
      </c>
      <c r="U58" s="41"/>
      <c r="V58" s="41"/>
      <c r="W58" s="41"/>
      <c r="X58" s="44" t="s">
        <v>85</v>
      </c>
      <c r="Y58" s="44"/>
      <c r="Z58" s="44"/>
      <c r="AA58" s="44"/>
      <c r="AB58" s="44"/>
      <c r="AC58" s="44"/>
      <c r="AD58" s="44"/>
      <c r="AE58" s="44"/>
      <c r="AF58" s="44"/>
      <c r="AG58" s="44"/>
      <c r="AH58" s="44"/>
      <c r="AI58" s="36"/>
      <c r="AJ58" s="36"/>
      <c r="AK58" s="36"/>
      <c r="AL58" s="36"/>
      <c r="AM58" s="36"/>
      <c r="AN58" s="36"/>
      <c r="AO58" s="36"/>
      <c r="AP58" s="36"/>
      <c r="AQ58" s="36"/>
      <c r="AR58" s="36"/>
      <c r="AS58" s="36"/>
    </row>
    <row r="59" ht="38" customHeight="1" spans="2:45">
      <c r="B59" s="35"/>
      <c r="C59" s="35"/>
      <c r="D59" s="35"/>
      <c r="E59" s="35"/>
      <c r="F59" s="35"/>
      <c r="G59" s="35"/>
      <c r="H59" s="37" t="s">
        <v>63</v>
      </c>
      <c r="I59" s="37"/>
      <c r="J59" s="37"/>
      <c r="K59" s="37"/>
      <c r="L59" s="37"/>
      <c r="M59" s="37"/>
      <c r="N59" s="37"/>
      <c r="O59" s="37"/>
      <c r="P59" s="37"/>
      <c r="Q59" s="40" t="s">
        <v>86</v>
      </c>
      <c r="R59" s="40"/>
      <c r="S59" s="40"/>
      <c r="T59" s="41">
        <f>IF(COUNTIF(改修詳細!E:E,Q59)=0,"-",COUNTIF(改修詳細!E:E,Q59))</f>
        <v>1</v>
      </c>
      <c r="U59" s="41"/>
      <c r="V59" s="41"/>
      <c r="W59" s="41"/>
      <c r="X59" s="44" t="s">
        <v>87</v>
      </c>
      <c r="Y59" s="44"/>
      <c r="Z59" s="44"/>
      <c r="AA59" s="44"/>
      <c r="AB59" s="44"/>
      <c r="AC59" s="44"/>
      <c r="AD59" s="44"/>
      <c r="AE59" s="44"/>
      <c r="AF59" s="44"/>
      <c r="AG59" s="44"/>
      <c r="AH59" s="44"/>
      <c r="AI59" s="36"/>
      <c r="AJ59" s="36"/>
      <c r="AK59" s="36"/>
      <c r="AL59" s="36"/>
      <c r="AM59" s="36"/>
      <c r="AN59" s="36"/>
      <c r="AO59" s="36"/>
      <c r="AP59" s="36"/>
      <c r="AQ59" s="36"/>
      <c r="AR59" s="36"/>
      <c r="AS59" s="36"/>
    </row>
    <row r="60" spans="2:45">
      <c r="B60" s="35"/>
      <c r="C60" s="35"/>
      <c r="D60" s="35"/>
      <c r="E60" s="35"/>
      <c r="F60" s="35"/>
      <c r="G60" s="35"/>
      <c r="H60" s="37" t="s">
        <v>88</v>
      </c>
      <c r="I60" s="37"/>
      <c r="J60" s="37"/>
      <c r="K60" s="37"/>
      <c r="L60" s="37"/>
      <c r="M60" s="37"/>
      <c r="N60" s="37"/>
      <c r="O60" s="37"/>
      <c r="P60" s="37"/>
      <c r="Q60" s="40" t="s">
        <v>89</v>
      </c>
      <c r="R60" s="40"/>
      <c r="S60" s="40"/>
      <c r="T60" s="41" t="str">
        <f>IF(COUNTIF(改修詳細!E:E,Q60)=0,"-",COUNTIF(改修詳細!E:E,Q60))</f>
        <v>-</v>
      </c>
      <c r="U60" s="41"/>
      <c r="V60" s="41"/>
      <c r="W60" s="41"/>
      <c r="X60" s="44" t="s">
        <v>49</v>
      </c>
      <c r="Y60" s="44"/>
      <c r="Z60" s="44"/>
      <c r="AA60" s="44"/>
      <c r="AB60" s="44"/>
      <c r="AC60" s="44"/>
      <c r="AD60" s="44"/>
      <c r="AE60" s="44"/>
      <c r="AF60" s="44"/>
      <c r="AG60" s="44"/>
      <c r="AH60" s="44"/>
      <c r="AI60" s="36"/>
      <c r="AJ60" s="36"/>
      <c r="AK60" s="36"/>
      <c r="AL60" s="36"/>
      <c r="AM60" s="36"/>
      <c r="AN60" s="36"/>
      <c r="AO60" s="36"/>
      <c r="AP60" s="36"/>
      <c r="AQ60" s="36"/>
      <c r="AR60" s="36"/>
      <c r="AS60" s="36"/>
    </row>
    <row r="61" spans="2:45">
      <c r="B61" s="35"/>
      <c r="C61" s="35"/>
      <c r="D61" s="35"/>
      <c r="E61" s="35"/>
      <c r="F61" s="35"/>
      <c r="G61" s="35"/>
      <c r="H61" s="37" t="s">
        <v>90</v>
      </c>
      <c r="I61" s="37"/>
      <c r="J61" s="37"/>
      <c r="K61" s="37"/>
      <c r="L61" s="37"/>
      <c r="M61" s="37"/>
      <c r="N61" s="37"/>
      <c r="O61" s="37"/>
      <c r="P61" s="37"/>
      <c r="Q61" s="40" t="s">
        <v>91</v>
      </c>
      <c r="R61" s="40"/>
      <c r="S61" s="40"/>
      <c r="T61" s="41" t="str">
        <f>IF(COUNTIF(改修詳細!E:E,Q61)=0,"-",COUNTIF(改修詳細!E:E,Q61))</f>
        <v>-</v>
      </c>
      <c r="U61" s="41"/>
      <c r="V61" s="41"/>
      <c r="W61" s="41"/>
      <c r="X61" s="44" t="s">
        <v>49</v>
      </c>
      <c r="Y61" s="44"/>
      <c r="Z61" s="44"/>
      <c r="AA61" s="44"/>
      <c r="AB61" s="44"/>
      <c r="AC61" s="44"/>
      <c r="AD61" s="44"/>
      <c r="AE61" s="44"/>
      <c r="AF61" s="44"/>
      <c r="AG61" s="44"/>
      <c r="AH61" s="44"/>
      <c r="AI61" s="36"/>
      <c r="AJ61" s="36"/>
      <c r="AK61" s="36"/>
      <c r="AL61" s="36"/>
      <c r="AM61" s="36"/>
      <c r="AN61" s="36"/>
      <c r="AO61" s="36"/>
      <c r="AP61" s="36"/>
      <c r="AQ61" s="36"/>
      <c r="AR61" s="36"/>
      <c r="AS61" s="36"/>
    </row>
    <row r="62" spans="2:45">
      <c r="B62" s="35"/>
      <c r="C62" s="35"/>
      <c r="D62" s="35"/>
      <c r="E62" s="35"/>
      <c r="F62" s="35"/>
      <c r="G62" s="35"/>
      <c r="H62" s="37" t="s">
        <v>92</v>
      </c>
      <c r="I62" s="37"/>
      <c r="J62" s="37"/>
      <c r="K62" s="37"/>
      <c r="L62" s="37"/>
      <c r="M62" s="37"/>
      <c r="N62" s="37"/>
      <c r="O62" s="37"/>
      <c r="P62" s="37"/>
      <c r="Q62" s="40" t="s">
        <v>93</v>
      </c>
      <c r="R62" s="40"/>
      <c r="S62" s="40"/>
      <c r="T62" s="41" t="str">
        <f>IF(COUNTIF(改修詳細!E:E,Q62)=0,"-",COUNTIF(改修詳細!E:E,Q62))</f>
        <v>-</v>
      </c>
      <c r="U62" s="41"/>
      <c r="V62" s="41"/>
      <c r="W62" s="41"/>
      <c r="X62" s="44" t="s">
        <v>49</v>
      </c>
      <c r="Y62" s="44"/>
      <c r="Z62" s="44"/>
      <c r="AA62" s="44"/>
      <c r="AB62" s="44"/>
      <c r="AC62" s="44"/>
      <c r="AD62" s="44"/>
      <c r="AE62" s="44"/>
      <c r="AF62" s="44"/>
      <c r="AG62" s="44"/>
      <c r="AH62" s="44"/>
      <c r="AI62" s="36"/>
      <c r="AJ62" s="36"/>
      <c r="AK62" s="36"/>
      <c r="AL62" s="36"/>
      <c r="AM62" s="36"/>
      <c r="AN62" s="36"/>
      <c r="AO62" s="36"/>
      <c r="AP62" s="36"/>
      <c r="AQ62" s="36"/>
      <c r="AR62" s="36"/>
      <c r="AS62" s="36"/>
    </row>
    <row r="63" spans="2:45">
      <c r="B63" s="35"/>
      <c r="C63" s="35"/>
      <c r="D63" s="35"/>
      <c r="E63" s="35"/>
      <c r="F63" s="35"/>
      <c r="G63" s="35"/>
      <c r="H63" s="37" t="s">
        <v>94</v>
      </c>
      <c r="I63" s="37"/>
      <c r="J63" s="37"/>
      <c r="K63" s="37"/>
      <c r="L63" s="37"/>
      <c r="M63" s="37"/>
      <c r="N63" s="37"/>
      <c r="O63" s="37"/>
      <c r="P63" s="37"/>
      <c r="Q63" s="40" t="s">
        <v>95</v>
      </c>
      <c r="R63" s="40"/>
      <c r="S63" s="40"/>
      <c r="T63" s="41" t="str">
        <f>IF(COUNTIF(改修詳細!E:E,Q63)=0,"-",COUNTIF(改修詳細!E:E,Q63))</f>
        <v>-</v>
      </c>
      <c r="U63" s="41"/>
      <c r="V63" s="41"/>
      <c r="W63" s="41"/>
      <c r="X63" s="44" t="s">
        <v>49</v>
      </c>
      <c r="Y63" s="44"/>
      <c r="Z63" s="44"/>
      <c r="AA63" s="44"/>
      <c r="AB63" s="44"/>
      <c r="AC63" s="44"/>
      <c r="AD63" s="44"/>
      <c r="AE63" s="44"/>
      <c r="AF63" s="44"/>
      <c r="AG63" s="44"/>
      <c r="AH63" s="44"/>
      <c r="AI63" s="36"/>
      <c r="AJ63" s="36"/>
      <c r="AK63" s="36"/>
      <c r="AL63" s="36"/>
      <c r="AM63" s="36"/>
      <c r="AN63" s="36"/>
      <c r="AO63" s="36"/>
      <c r="AP63" s="36"/>
      <c r="AQ63" s="36"/>
      <c r="AR63" s="36"/>
      <c r="AS63" s="36"/>
    </row>
    <row r="64" spans="2:45">
      <c r="B64" s="35"/>
      <c r="C64" s="35"/>
      <c r="D64" s="35"/>
      <c r="E64" s="35"/>
      <c r="F64" s="35"/>
      <c r="G64" s="35"/>
      <c r="H64" s="37" t="s">
        <v>96</v>
      </c>
      <c r="I64" s="37"/>
      <c r="J64" s="37"/>
      <c r="K64" s="37"/>
      <c r="L64" s="37"/>
      <c r="M64" s="37"/>
      <c r="N64" s="37"/>
      <c r="O64" s="37"/>
      <c r="P64" s="37"/>
      <c r="Q64" s="40" t="s">
        <v>97</v>
      </c>
      <c r="R64" s="40"/>
      <c r="S64" s="40"/>
      <c r="T64" s="41" t="str">
        <f>IF(COUNTIF(改修詳細!E:E,Q64)=0,"-",COUNTIF(改修詳細!E:E,Q64))</f>
        <v>-</v>
      </c>
      <c r="U64" s="41"/>
      <c r="V64" s="41"/>
      <c r="W64" s="41"/>
      <c r="X64" s="44" t="s">
        <v>49</v>
      </c>
      <c r="Y64" s="44"/>
      <c r="Z64" s="44"/>
      <c r="AA64" s="44"/>
      <c r="AB64" s="44"/>
      <c r="AC64" s="44"/>
      <c r="AD64" s="44"/>
      <c r="AE64" s="44"/>
      <c r="AF64" s="44"/>
      <c r="AG64" s="44"/>
      <c r="AH64" s="44"/>
      <c r="AI64" s="36"/>
      <c r="AJ64" s="36"/>
      <c r="AK64" s="36"/>
      <c r="AL64" s="36"/>
      <c r="AM64" s="36"/>
      <c r="AN64" s="36"/>
      <c r="AO64" s="36"/>
      <c r="AP64" s="36"/>
      <c r="AQ64" s="36"/>
      <c r="AR64" s="36"/>
      <c r="AS64" s="36"/>
    </row>
    <row r="65" spans="2:45">
      <c r="B65" s="35" t="s">
        <v>94</v>
      </c>
      <c r="C65" s="35"/>
      <c r="D65" s="35"/>
      <c r="E65" s="35"/>
      <c r="F65" s="35"/>
      <c r="G65" s="35"/>
      <c r="H65" s="37" t="s">
        <v>28</v>
      </c>
      <c r="I65" s="37"/>
      <c r="J65" s="37"/>
      <c r="K65" s="37"/>
      <c r="L65" s="37"/>
      <c r="M65" s="37"/>
      <c r="N65" s="37"/>
      <c r="O65" s="37"/>
      <c r="P65" s="37"/>
      <c r="Q65" s="40" t="s">
        <v>98</v>
      </c>
      <c r="R65" s="40"/>
      <c r="S65" s="40"/>
      <c r="T65" s="41" t="str">
        <f>IF(COUNTIF(改修詳細!E:E,Q65)=0,"-",COUNTIF(改修詳細!E:E,Q65))</f>
        <v>-</v>
      </c>
      <c r="U65" s="41"/>
      <c r="V65" s="41"/>
      <c r="W65" s="41"/>
      <c r="X65" s="44" t="s">
        <v>49</v>
      </c>
      <c r="Y65" s="44"/>
      <c r="Z65" s="44"/>
      <c r="AA65" s="44"/>
      <c r="AB65" s="44"/>
      <c r="AC65" s="44"/>
      <c r="AD65" s="44"/>
      <c r="AE65" s="44"/>
      <c r="AF65" s="44"/>
      <c r="AG65" s="44"/>
      <c r="AH65" s="44"/>
      <c r="AI65" s="36"/>
      <c r="AJ65" s="36"/>
      <c r="AK65" s="36"/>
      <c r="AL65" s="36"/>
      <c r="AM65" s="36"/>
      <c r="AN65" s="36"/>
      <c r="AO65" s="36"/>
      <c r="AP65" s="36"/>
      <c r="AQ65" s="36"/>
      <c r="AR65" s="36"/>
      <c r="AS65" s="36"/>
    </row>
    <row r="66" ht="29" customHeight="1" spans="2:45">
      <c r="B66" s="35"/>
      <c r="C66" s="35"/>
      <c r="D66" s="35"/>
      <c r="E66" s="35"/>
      <c r="F66" s="35"/>
      <c r="G66" s="35"/>
      <c r="H66" s="37" t="s">
        <v>31</v>
      </c>
      <c r="I66" s="37"/>
      <c r="J66" s="37"/>
      <c r="K66" s="37"/>
      <c r="L66" s="37"/>
      <c r="M66" s="37"/>
      <c r="N66" s="37"/>
      <c r="O66" s="37"/>
      <c r="P66" s="37"/>
      <c r="Q66" s="40" t="s">
        <v>99</v>
      </c>
      <c r="R66" s="40"/>
      <c r="S66" s="40"/>
      <c r="T66" s="41">
        <f>IF(COUNTIF(改修詳細!E:E,Q66)=0,"-",COUNTIF(改修詳細!E:E,Q66))</f>
        <v>1</v>
      </c>
      <c r="U66" s="41"/>
      <c r="V66" s="41"/>
      <c r="W66" s="41"/>
      <c r="X66" s="44" t="s">
        <v>100</v>
      </c>
      <c r="Y66" s="44"/>
      <c r="Z66" s="44"/>
      <c r="AA66" s="44"/>
      <c r="AB66" s="44"/>
      <c r="AC66" s="44"/>
      <c r="AD66" s="44"/>
      <c r="AE66" s="44"/>
      <c r="AF66" s="44"/>
      <c r="AG66" s="44"/>
      <c r="AH66" s="44"/>
      <c r="AI66" s="36"/>
      <c r="AJ66" s="36"/>
      <c r="AK66" s="36"/>
      <c r="AL66" s="36"/>
      <c r="AM66" s="36"/>
      <c r="AN66" s="36"/>
      <c r="AO66" s="36"/>
      <c r="AP66" s="36"/>
      <c r="AQ66" s="36"/>
      <c r="AR66" s="36"/>
      <c r="AS66" s="36"/>
    </row>
    <row r="67" spans="2:45">
      <c r="B67" s="35"/>
      <c r="C67" s="35"/>
      <c r="D67" s="35"/>
      <c r="E67" s="35"/>
      <c r="F67" s="35"/>
      <c r="G67" s="35"/>
      <c r="H67" s="37" t="s">
        <v>34</v>
      </c>
      <c r="I67" s="37"/>
      <c r="J67" s="37"/>
      <c r="K67" s="37"/>
      <c r="L67" s="37"/>
      <c r="M67" s="37"/>
      <c r="N67" s="37"/>
      <c r="O67" s="37"/>
      <c r="P67" s="37"/>
      <c r="Q67" s="40" t="s">
        <v>101</v>
      </c>
      <c r="R67" s="40"/>
      <c r="S67" s="40"/>
      <c r="T67" s="41" t="str">
        <f>IF(COUNTIF(改修詳細!E:E,Q67)=0,"-",COUNTIF(改修詳細!E:E,Q67))</f>
        <v>-</v>
      </c>
      <c r="U67" s="41"/>
      <c r="V67" s="41"/>
      <c r="W67" s="41"/>
      <c r="X67" s="44" t="s">
        <v>49</v>
      </c>
      <c r="Y67" s="44"/>
      <c r="Z67" s="44"/>
      <c r="AA67" s="44"/>
      <c r="AB67" s="44"/>
      <c r="AC67" s="44"/>
      <c r="AD67" s="44"/>
      <c r="AE67" s="44"/>
      <c r="AF67" s="44"/>
      <c r="AG67" s="44"/>
      <c r="AH67" s="44"/>
      <c r="AI67" s="36"/>
      <c r="AJ67" s="36"/>
      <c r="AK67" s="36"/>
      <c r="AL67" s="36"/>
      <c r="AM67" s="36"/>
      <c r="AN67" s="36"/>
      <c r="AO67" s="36"/>
      <c r="AP67" s="36"/>
      <c r="AQ67" s="36"/>
      <c r="AR67" s="36"/>
      <c r="AS67" s="36"/>
    </row>
    <row r="68" spans="2:45">
      <c r="B68" s="35"/>
      <c r="C68" s="35"/>
      <c r="D68" s="35"/>
      <c r="E68" s="35"/>
      <c r="F68" s="35"/>
      <c r="G68" s="35"/>
      <c r="H68" s="37" t="s">
        <v>37</v>
      </c>
      <c r="I68" s="37"/>
      <c r="J68" s="37"/>
      <c r="K68" s="37"/>
      <c r="L68" s="37"/>
      <c r="M68" s="37"/>
      <c r="N68" s="37"/>
      <c r="O68" s="37"/>
      <c r="P68" s="37"/>
      <c r="Q68" s="40" t="s">
        <v>101</v>
      </c>
      <c r="R68" s="40"/>
      <c r="S68" s="40"/>
      <c r="T68" s="41" t="str">
        <f>IF(COUNTIF(改修詳細!E:E,Q68)=0,"-",COUNTIF(改修詳細!E:E,Q68))</f>
        <v>-</v>
      </c>
      <c r="U68" s="41"/>
      <c r="V68" s="41"/>
      <c r="W68" s="41"/>
      <c r="X68" s="44" t="s">
        <v>49</v>
      </c>
      <c r="Y68" s="44"/>
      <c r="Z68" s="44"/>
      <c r="AA68" s="44"/>
      <c r="AB68" s="44"/>
      <c r="AC68" s="44"/>
      <c r="AD68" s="44"/>
      <c r="AE68" s="44"/>
      <c r="AF68" s="44"/>
      <c r="AG68" s="44"/>
      <c r="AH68" s="44"/>
      <c r="AI68" s="36"/>
      <c r="AJ68" s="36"/>
      <c r="AK68" s="36"/>
      <c r="AL68" s="36"/>
      <c r="AM68" s="36"/>
      <c r="AN68" s="36"/>
      <c r="AO68" s="36"/>
      <c r="AP68" s="36"/>
      <c r="AQ68" s="36"/>
      <c r="AR68" s="36"/>
      <c r="AS68" s="36"/>
    </row>
    <row r="69" spans="2:45">
      <c r="B69" s="35"/>
      <c r="C69" s="35"/>
      <c r="D69" s="35"/>
      <c r="E69" s="35"/>
      <c r="F69" s="35"/>
      <c r="G69" s="35"/>
      <c r="H69" s="37" t="s">
        <v>40</v>
      </c>
      <c r="I69" s="37"/>
      <c r="J69" s="37"/>
      <c r="K69" s="37"/>
      <c r="L69" s="37"/>
      <c r="M69" s="37"/>
      <c r="N69" s="37"/>
      <c r="O69" s="37"/>
      <c r="P69" s="37"/>
      <c r="Q69" s="40" t="s">
        <v>102</v>
      </c>
      <c r="R69" s="40"/>
      <c r="S69" s="40"/>
      <c r="T69" s="41" t="str">
        <f>IF(COUNTIF(改修詳細!E:E,Q69)=0,"-",COUNTIF(改修詳細!E:E,Q69))</f>
        <v>-</v>
      </c>
      <c r="U69" s="41"/>
      <c r="V69" s="41"/>
      <c r="W69" s="41"/>
      <c r="X69" s="44" t="s">
        <v>49</v>
      </c>
      <c r="Y69" s="44"/>
      <c r="Z69" s="44"/>
      <c r="AA69" s="44"/>
      <c r="AB69" s="44"/>
      <c r="AC69" s="44"/>
      <c r="AD69" s="44"/>
      <c r="AE69" s="44"/>
      <c r="AF69" s="44"/>
      <c r="AG69" s="44"/>
      <c r="AH69" s="44"/>
      <c r="AI69" s="36"/>
      <c r="AJ69" s="36"/>
      <c r="AK69" s="36"/>
      <c r="AL69" s="36"/>
      <c r="AM69" s="36"/>
      <c r="AN69" s="36"/>
      <c r="AO69" s="36"/>
      <c r="AP69" s="36"/>
      <c r="AQ69" s="36"/>
      <c r="AR69" s="36"/>
      <c r="AS69" s="36"/>
    </row>
    <row r="70" spans="2:45">
      <c r="B70" s="35" t="s">
        <v>96</v>
      </c>
      <c r="C70" s="35"/>
      <c r="D70" s="35"/>
      <c r="E70" s="35"/>
      <c r="F70" s="35"/>
      <c r="G70" s="35"/>
      <c r="H70" s="37" t="s">
        <v>28</v>
      </c>
      <c r="I70" s="37"/>
      <c r="J70" s="37"/>
      <c r="K70" s="37"/>
      <c r="L70" s="37"/>
      <c r="M70" s="37"/>
      <c r="N70" s="37"/>
      <c r="O70" s="37"/>
      <c r="P70" s="37"/>
      <c r="Q70" s="40" t="s">
        <v>103</v>
      </c>
      <c r="R70" s="40"/>
      <c r="S70" s="40"/>
      <c r="T70" s="41" t="str">
        <f>IF(COUNTIF(改修詳細!E:E,Q70)=0,"-",COUNTIF(改修詳細!E:E,Q70))</f>
        <v>-</v>
      </c>
      <c r="U70" s="41"/>
      <c r="V70" s="41"/>
      <c r="W70" s="41"/>
      <c r="X70" s="44" t="s">
        <v>49</v>
      </c>
      <c r="Y70" s="44"/>
      <c r="Z70" s="44"/>
      <c r="AA70" s="44"/>
      <c r="AB70" s="44"/>
      <c r="AC70" s="44"/>
      <c r="AD70" s="44"/>
      <c r="AE70" s="44"/>
      <c r="AF70" s="44"/>
      <c r="AG70" s="44"/>
      <c r="AH70" s="44"/>
      <c r="AI70" s="36"/>
      <c r="AJ70" s="36"/>
      <c r="AK70" s="36"/>
      <c r="AL70" s="36"/>
      <c r="AM70" s="36"/>
      <c r="AN70" s="36"/>
      <c r="AO70" s="36"/>
      <c r="AP70" s="36"/>
      <c r="AQ70" s="36"/>
      <c r="AR70" s="36"/>
      <c r="AS70" s="36"/>
    </row>
    <row r="71" spans="2:45">
      <c r="B71" s="35"/>
      <c r="C71" s="35"/>
      <c r="D71" s="35"/>
      <c r="E71" s="35"/>
      <c r="F71" s="35"/>
      <c r="G71" s="35"/>
      <c r="H71" s="37" t="s">
        <v>31</v>
      </c>
      <c r="I71" s="37"/>
      <c r="J71" s="37"/>
      <c r="K71" s="37"/>
      <c r="L71" s="37"/>
      <c r="M71" s="37"/>
      <c r="N71" s="37"/>
      <c r="O71" s="37"/>
      <c r="P71" s="37"/>
      <c r="Q71" s="40" t="s">
        <v>104</v>
      </c>
      <c r="R71" s="40"/>
      <c r="S71" s="40"/>
      <c r="T71" s="41" t="str">
        <f>IF(COUNTIF(改修詳細!E:E,Q71)=0,"-",COUNTIF(改修詳細!E:E,Q71))</f>
        <v>-</v>
      </c>
      <c r="U71" s="41"/>
      <c r="V71" s="41"/>
      <c r="W71" s="41"/>
      <c r="X71" s="44" t="s">
        <v>49</v>
      </c>
      <c r="Y71" s="44"/>
      <c r="Z71" s="44"/>
      <c r="AA71" s="44"/>
      <c r="AB71" s="44"/>
      <c r="AC71" s="44"/>
      <c r="AD71" s="44"/>
      <c r="AE71" s="44"/>
      <c r="AF71" s="44"/>
      <c r="AG71" s="44"/>
      <c r="AH71" s="44"/>
      <c r="AI71" s="36"/>
      <c r="AJ71" s="36"/>
      <c r="AK71" s="36"/>
      <c r="AL71" s="36"/>
      <c r="AM71" s="36"/>
      <c r="AN71" s="36"/>
      <c r="AO71" s="36"/>
      <c r="AP71" s="36"/>
      <c r="AQ71" s="36"/>
      <c r="AR71" s="36"/>
      <c r="AS71" s="36"/>
    </row>
    <row r="72" spans="2:45">
      <c r="B72" s="35"/>
      <c r="C72" s="35"/>
      <c r="D72" s="35"/>
      <c r="E72" s="35"/>
      <c r="F72" s="35"/>
      <c r="G72" s="35"/>
      <c r="H72" s="37" t="s">
        <v>34</v>
      </c>
      <c r="I72" s="37"/>
      <c r="J72" s="37"/>
      <c r="K72" s="37"/>
      <c r="L72" s="37"/>
      <c r="M72" s="37"/>
      <c r="N72" s="37"/>
      <c r="O72" s="37"/>
      <c r="P72" s="37"/>
      <c r="Q72" s="40" t="s">
        <v>105</v>
      </c>
      <c r="R72" s="40"/>
      <c r="S72" s="40"/>
      <c r="T72" s="41" t="str">
        <f>IF(COUNTIF(改修詳細!E:E,Q72)=0,"-",COUNTIF(改修詳細!E:E,Q72))</f>
        <v>-</v>
      </c>
      <c r="U72" s="41"/>
      <c r="V72" s="41"/>
      <c r="W72" s="41"/>
      <c r="X72" s="44" t="s">
        <v>49</v>
      </c>
      <c r="Y72" s="44"/>
      <c r="Z72" s="44"/>
      <c r="AA72" s="44"/>
      <c r="AB72" s="44"/>
      <c r="AC72" s="44"/>
      <c r="AD72" s="44"/>
      <c r="AE72" s="44"/>
      <c r="AF72" s="44"/>
      <c r="AG72" s="44"/>
      <c r="AH72" s="44"/>
      <c r="AI72" s="36"/>
      <c r="AJ72" s="36"/>
      <c r="AK72" s="36"/>
      <c r="AL72" s="36"/>
      <c r="AM72" s="36"/>
      <c r="AN72" s="36"/>
      <c r="AO72" s="36"/>
      <c r="AP72" s="36"/>
      <c r="AQ72" s="36"/>
      <c r="AR72" s="36"/>
      <c r="AS72" s="36"/>
    </row>
    <row r="73" spans="2:45">
      <c r="B73" s="35"/>
      <c r="C73" s="35"/>
      <c r="D73" s="35"/>
      <c r="E73" s="35"/>
      <c r="F73" s="35"/>
      <c r="G73" s="35"/>
      <c r="H73" s="37" t="s">
        <v>37</v>
      </c>
      <c r="I73" s="37"/>
      <c r="J73" s="37"/>
      <c r="K73" s="37"/>
      <c r="L73" s="37"/>
      <c r="M73" s="37"/>
      <c r="N73" s="37"/>
      <c r="O73" s="37"/>
      <c r="P73" s="37"/>
      <c r="Q73" s="40" t="s">
        <v>105</v>
      </c>
      <c r="R73" s="40"/>
      <c r="S73" s="40"/>
      <c r="T73" s="41" t="str">
        <f>IF(COUNTIF(改修詳細!E:E,Q73)=0,"-",COUNTIF(改修詳細!E:E,Q73))</f>
        <v>-</v>
      </c>
      <c r="U73" s="41"/>
      <c r="V73" s="41"/>
      <c r="W73" s="41"/>
      <c r="X73" s="44" t="s">
        <v>49</v>
      </c>
      <c r="Y73" s="44"/>
      <c r="Z73" s="44"/>
      <c r="AA73" s="44"/>
      <c r="AB73" s="44"/>
      <c r="AC73" s="44"/>
      <c r="AD73" s="44"/>
      <c r="AE73" s="44"/>
      <c r="AF73" s="44"/>
      <c r="AG73" s="44"/>
      <c r="AH73" s="44"/>
      <c r="AI73" s="36"/>
      <c r="AJ73" s="36"/>
      <c r="AK73" s="36"/>
      <c r="AL73" s="36"/>
      <c r="AM73" s="36"/>
      <c r="AN73" s="36"/>
      <c r="AO73" s="36"/>
      <c r="AP73" s="36"/>
      <c r="AQ73" s="36"/>
      <c r="AR73" s="36"/>
      <c r="AS73" s="36"/>
    </row>
    <row r="74" spans="2:45">
      <c r="B74" s="35"/>
      <c r="C74" s="35"/>
      <c r="D74" s="35"/>
      <c r="E74" s="35"/>
      <c r="F74" s="35"/>
      <c r="G74" s="35"/>
      <c r="H74" s="37" t="s">
        <v>40</v>
      </c>
      <c r="I74" s="37"/>
      <c r="J74" s="37"/>
      <c r="K74" s="37"/>
      <c r="L74" s="37"/>
      <c r="M74" s="37"/>
      <c r="N74" s="37"/>
      <c r="O74" s="37"/>
      <c r="P74" s="37"/>
      <c r="Q74" s="40" t="s">
        <v>106</v>
      </c>
      <c r="R74" s="40"/>
      <c r="S74" s="40"/>
      <c r="T74" s="41" t="str">
        <f>IF(COUNTIF(改修詳細!E:E,Q74)=0,"-",COUNTIF(改修詳細!E:E,Q74))</f>
        <v>-</v>
      </c>
      <c r="U74" s="41"/>
      <c r="V74" s="41"/>
      <c r="W74" s="41"/>
      <c r="X74" s="44" t="s">
        <v>49</v>
      </c>
      <c r="Y74" s="44"/>
      <c r="Z74" s="44"/>
      <c r="AA74" s="44"/>
      <c r="AB74" s="44"/>
      <c r="AC74" s="44"/>
      <c r="AD74" s="44"/>
      <c r="AE74" s="44"/>
      <c r="AF74" s="44"/>
      <c r="AG74" s="44"/>
      <c r="AH74" s="44"/>
      <c r="AI74" s="36"/>
      <c r="AJ74" s="36"/>
      <c r="AK74" s="36"/>
      <c r="AL74" s="36"/>
      <c r="AM74" s="36"/>
      <c r="AN74" s="36"/>
      <c r="AO74" s="36"/>
      <c r="AP74" s="36"/>
      <c r="AQ74" s="36"/>
      <c r="AR74" s="36"/>
      <c r="AS74" s="36"/>
    </row>
    <row r="75" spans="2:45">
      <c r="B75" s="35" t="s">
        <v>107</v>
      </c>
      <c r="C75" s="35"/>
      <c r="D75" s="35"/>
      <c r="E75" s="35"/>
      <c r="F75" s="35"/>
      <c r="G75" s="35"/>
      <c r="H75" s="37" t="s">
        <v>28</v>
      </c>
      <c r="I75" s="37"/>
      <c r="J75" s="37"/>
      <c r="K75" s="37"/>
      <c r="L75" s="37"/>
      <c r="M75" s="37"/>
      <c r="N75" s="37"/>
      <c r="O75" s="37"/>
      <c r="P75" s="37"/>
      <c r="Q75" s="40" t="s">
        <v>48</v>
      </c>
      <c r="R75" s="40"/>
      <c r="S75" s="40"/>
      <c r="T75" s="41" t="str">
        <f>IF(COUNTIF(改修詳細!E:E,Q75)=0,"-",COUNTIF(改修詳細!E:E,Q75))</f>
        <v>-</v>
      </c>
      <c r="U75" s="41"/>
      <c r="V75" s="41"/>
      <c r="W75" s="41"/>
      <c r="X75" s="44" t="s">
        <v>49</v>
      </c>
      <c r="Y75" s="44"/>
      <c r="Z75" s="44"/>
      <c r="AA75" s="44"/>
      <c r="AB75" s="44"/>
      <c r="AC75" s="44"/>
      <c r="AD75" s="44"/>
      <c r="AE75" s="44"/>
      <c r="AF75" s="44"/>
      <c r="AG75" s="44"/>
      <c r="AH75" s="44"/>
      <c r="AI75" s="36"/>
      <c r="AJ75" s="36"/>
      <c r="AK75" s="36"/>
      <c r="AL75" s="36"/>
      <c r="AM75" s="36"/>
      <c r="AN75" s="36"/>
      <c r="AO75" s="36"/>
      <c r="AP75" s="36"/>
      <c r="AQ75" s="36"/>
      <c r="AR75" s="36"/>
      <c r="AS75" s="36"/>
    </row>
    <row r="76" spans="2:45">
      <c r="B76" s="35"/>
      <c r="C76" s="35"/>
      <c r="D76" s="35"/>
      <c r="E76" s="35"/>
      <c r="F76" s="35"/>
      <c r="G76" s="35"/>
      <c r="H76" s="37" t="s">
        <v>108</v>
      </c>
      <c r="I76" s="37"/>
      <c r="J76" s="37"/>
      <c r="K76" s="37"/>
      <c r="L76" s="37"/>
      <c r="M76" s="37"/>
      <c r="N76" s="37"/>
      <c r="O76" s="37"/>
      <c r="P76" s="37"/>
      <c r="Q76" s="40" t="s">
        <v>109</v>
      </c>
      <c r="R76" s="40"/>
      <c r="S76" s="40"/>
      <c r="T76" s="41" t="str">
        <f>IF(COUNTIF(改修詳細!E:E,Q76)=0,"-",COUNTIF(改修詳細!E:E,Q76))</f>
        <v>-</v>
      </c>
      <c r="U76" s="41"/>
      <c r="V76" s="41"/>
      <c r="W76" s="41"/>
      <c r="X76" s="44" t="s">
        <v>49</v>
      </c>
      <c r="Y76" s="44"/>
      <c r="Z76" s="44"/>
      <c r="AA76" s="44"/>
      <c r="AB76" s="44"/>
      <c r="AC76" s="44"/>
      <c r="AD76" s="44"/>
      <c r="AE76" s="44"/>
      <c r="AF76" s="44"/>
      <c r="AG76" s="44"/>
      <c r="AH76" s="44"/>
      <c r="AI76" s="36"/>
      <c r="AJ76" s="36"/>
      <c r="AK76" s="36"/>
      <c r="AL76" s="36"/>
      <c r="AM76" s="36"/>
      <c r="AN76" s="36"/>
      <c r="AO76" s="36"/>
      <c r="AP76" s="36"/>
      <c r="AQ76" s="36"/>
      <c r="AR76" s="36"/>
      <c r="AS76" s="36"/>
    </row>
    <row r="77" spans="2:45">
      <c r="B77" s="35"/>
      <c r="C77" s="35"/>
      <c r="D77" s="35"/>
      <c r="E77" s="35"/>
      <c r="F77" s="35"/>
      <c r="G77" s="35"/>
      <c r="H77" s="37" t="s">
        <v>110</v>
      </c>
      <c r="I77" s="37"/>
      <c r="J77" s="37"/>
      <c r="K77" s="37"/>
      <c r="L77" s="37"/>
      <c r="M77" s="37"/>
      <c r="N77" s="37"/>
      <c r="O77" s="37"/>
      <c r="P77" s="37"/>
      <c r="Q77" s="40" t="s">
        <v>111</v>
      </c>
      <c r="R77" s="40"/>
      <c r="S77" s="40"/>
      <c r="T77" s="41" t="str">
        <f>IF(COUNTIF(改修詳細!E:E,Q77)=0,"-",COUNTIF(改修詳細!E:E,Q77))</f>
        <v>-</v>
      </c>
      <c r="U77" s="41"/>
      <c r="V77" s="41"/>
      <c r="W77" s="41"/>
      <c r="X77" s="44" t="s">
        <v>49</v>
      </c>
      <c r="Y77" s="44"/>
      <c r="Z77" s="44"/>
      <c r="AA77" s="44"/>
      <c r="AB77" s="44"/>
      <c r="AC77" s="44"/>
      <c r="AD77" s="44"/>
      <c r="AE77" s="44"/>
      <c r="AF77" s="44"/>
      <c r="AG77" s="44"/>
      <c r="AH77" s="44"/>
      <c r="AI77" s="36"/>
      <c r="AJ77" s="36"/>
      <c r="AK77" s="36"/>
      <c r="AL77" s="36"/>
      <c r="AM77" s="36"/>
      <c r="AN77" s="36"/>
      <c r="AO77" s="36"/>
      <c r="AP77" s="36"/>
      <c r="AQ77" s="36"/>
      <c r="AR77" s="36"/>
      <c r="AS77" s="36"/>
    </row>
    <row r="78" ht="26" customHeight="1" spans="2:45">
      <c r="B78" s="35" t="s">
        <v>112</v>
      </c>
      <c r="C78" s="35"/>
      <c r="D78" s="35"/>
      <c r="E78" s="35"/>
      <c r="F78" s="35"/>
      <c r="G78" s="35"/>
      <c r="H78" s="37" t="s">
        <v>113</v>
      </c>
      <c r="I78" s="37"/>
      <c r="J78" s="37"/>
      <c r="K78" s="37"/>
      <c r="L78" s="37"/>
      <c r="M78" s="37"/>
      <c r="N78" s="37"/>
      <c r="O78" s="37"/>
      <c r="P78" s="37"/>
      <c r="Q78" s="40" t="s">
        <v>114</v>
      </c>
      <c r="R78" s="40"/>
      <c r="S78" s="40"/>
      <c r="T78" s="41">
        <f>IF(COUNTIF(改修詳細!E:E,Q78)=0,"-",COUNTIF(改修詳細!E:E,Q78))</f>
        <v>1</v>
      </c>
      <c r="U78" s="41"/>
      <c r="V78" s="41"/>
      <c r="W78" s="41"/>
      <c r="X78" s="44" t="s">
        <v>115</v>
      </c>
      <c r="Y78" s="44"/>
      <c r="Z78" s="44"/>
      <c r="AA78" s="44"/>
      <c r="AB78" s="44"/>
      <c r="AC78" s="44"/>
      <c r="AD78" s="44"/>
      <c r="AE78" s="44"/>
      <c r="AF78" s="44"/>
      <c r="AG78" s="44"/>
      <c r="AH78" s="44"/>
      <c r="AI78" s="36"/>
      <c r="AJ78" s="36"/>
      <c r="AK78" s="36"/>
      <c r="AL78" s="36"/>
      <c r="AM78" s="36"/>
      <c r="AN78" s="36"/>
      <c r="AO78" s="36"/>
      <c r="AP78" s="36"/>
      <c r="AQ78" s="36"/>
      <c r="AR78" s="36"/>
      <c r="AS78" s="36"/>
    </row>
    <row r="79" spans="2:45">
      <c r="B79" s="35"/>
      <c r="C79" s="35"/>
      <c r="D79" s="35"/>
      <c r="E79" s="35"/>
      <c r="F79" s="35"/>
      <c r="G79" s="35"/>
      <c r="H79" s="37" t="s">
        <v>116</v>
      </c>
      <c r="I79" s="37"/>
      <c r="J79" s="37"/>
      <c r="K79" s="37"/>
      <c r="L79" s="37"/>
      <c r="M79" s="37"/>
      <c r="N79" s="37"/>
      <c r="O79" s="37"/>
      <c r="P79" s="37"/>
      <c r="Q79" s="40" t="s">
        <v>117</v>
      </c>
      <c r="R79" s="40"/>
      <c r="S79" s="40"/>
      <c r="T79" s="41" t="str">
        <f>IF(COUNTIF(改修詳細!E:E,Q79)=0,"-",COUNTIF(改修詳細!E:E,Q79))</f>
        <v>-</v>
      </c>
      <c r="U79" s="41"/>
      <c r="V79" s="41"/>
      <c r="W79" s="41"/>
      <c r="X79" s="44" t="s">
        <v>49</v>
      </c>
      <c r="Y79" s="44"/>
      <c r="Z79" s="44"/>
      <c r="AA79" s="44"/>
      <c r="AB79" s="44"/>
      <c r="AC79" s="44"/>
      <c r="AD79" s="44"/>
      <c r="AE79" s="44"/>
      <c r="AF79" s="44"/>
      <c r="AG79" s="44"/>
      <c r="AH79" s="44"/>
      <c r="AI79" s="36"/>
      <c r="AJ79" s="36"/>
      <c r="AK79" s="36"/>
      <c r="AL79" s="36"/>
      <c r="AM79" s="36"/>
      <c r="AN79" s="36"/>
      <c r="AO79" s="36"/>
      <c r="AP79" s="36"/>
      <c r="AQ79" s="36"/>
      <c r="AR79" s="36"/>
      <c r="AS79" s="36"/>
    </row>
    <row r="80" spans="2:45">
      <c r="B80" s="35"/>
      <c r="C80" s="35"/>
      <c r="D80" s="35"/>
      <c r="E80" s="35"/>
      <c r="F80" s="35"/>
      <c r="G80" s="35"/>
      <c r="H80" s="37" t="s">
        <v>112</v>
      </c>
      <c r="I80" s="37"/>
      <c r="J80" s="37"/>
      <c r="K80" s="37"/>
      <c r="L80" s="37"/>
      <c r="M80" s="37"/>
      <c r="N80" s="37"/>
      <c r="O80" s="37"/>
      <c r="P80" s="37"/>
      <c r="Q80" s="40" t="s">
        <v>118</v>
      </c>
      <c r="R80" s="40"/>
      <c r="S80" s="40"/>
      <c r="T80" s="41" t="str">
        <f>IF(COUNTIF(改修詳細!E:E,Q80)=0,"-",COUNTIF(改修詳細!E:E,Q80))</f>
        <v>-</v>
      </c>
      <c r="U80" s="41"/>
      <c r="V80" s="41"/>
      <c r="W80" s="41"/>
      <c r="X80" s="44" t="s">
        <v>49</v>
      </c>
      <c r="Y80" s="44"/>
      <c r="Z80" s="44"/>
      <c r="AA80" s="44"/>
      <c r="AB80" s="44"/>
      <c r="AC80" s="44"/>
      <c r="AD80" s="44"/>
      <c r="AE80" s="44"/>
      <c r="AF80" s="44"/>
      <c r="AG80" s="44"/>
      <c r="AH80" s="44"/>
      <c r="AI80" s="36"/>
      <c r="AJ80" s="36"/>
      <c r="AK80" s="36"/>
      <c r="AL80" s="36"/>
      <c r="AM80" s="36"/>
      <c r="AN80" s="36"/>
      <c r="AO80" s="36"/>
      <c r="AP80" s="36"/>
      <c r="AQ80" s="36"/>
      <c r="AR80" s="36"/>
      <c r="AS80" s="36"/>
    </row>
    <row r="81" spans="19:20">
      <c r="S81" s="49" t="s">
        <v>119</v>
      </c>
      <c r="T81" s="1">
        <f>SUM(T28:W80)</f>
        <v>30</v>
      </c>
    </row>
    <row r="83" ht="21.75" spans="1:1">
      <c r="A83" s="32" t="s">
        <v>120</v>
      </c>
    </row>
    <row r="85" spans="1:38">
      <c r="A85" s="47" t="s">
        <v>121</v>
      </c>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row>
    <row r="86" spans="1:38">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row>
    <row r="87" spans="1:38">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row>
    <row r="88" spans="1:3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row>
    <row r="89" spans="1:38">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row>
    <row r="90" spans="1:38">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row>
    <row r="93" ht="21.75" spans="1:1">
      <c r="A93" s="32" t="s">
        <v>122</v>
      </c>
    </row>
    <row r="95" spans="1:38">
      <c r="A95" s="46" t="s">
        <v>123</v>
      </c>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row>
    <row r="96" spans="1:38">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row>
    <row r="97" spans="1:38">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row>
    <row r="98" spans="1:3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row>
    <row r="99" spans="1:38">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row>
    <row r="100" spans="1:38">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row>
  </sheetData>
  <mergeCells count="283">
    <mergeCell ref="B27:G27"/>
    <mergeCell ref="H27:P27"/>
    <mergeCell ref="Q27:S27"/>
    <mergeCell ref="T27:W27"/>
    <mergeCell ref="X27:AH27"/>
    <mergeCell ref="AI27:AS27"/>
    <mergeCell ref="H28:P28"/>
    <mergeCell ref="Q28:S28"/>
    <mergeCell ref="T28:W28"/>
    <mergeCell ref="X28:AH28"/>
    <mergeCell ref="AI28:AS28"/>
    <mergeCell ref="H29:P29"/>
    <mergeCell ref="Q29:S29"/>
    <mergeCell ref="T29:W29"/>
    <mergeCell ref="X29:AH29"/>
    <mergeCell ref="AI29:AS29"/>
    <mergeCell ref="H30:P30"/>
    <mergeCell ref="Q30:S30"/>
    <mergeCell ref="T30:W30"/>
    <mergeCell ref="X30:AH30"/>
    <mergeCell ref="AI30:AS30"/>
    <mergeCell ref="H31:P31"/>
    <mergeCell ref="Q31:S31"/>
    <mergeCell ref="T31:W31"/>
    <mergeCell ref="X31:AH31"/>
    <mergeCell ref="AI31:AS31"/>
    <mergeCell ref="H32:P32"/>
    <mergeCell ref="Q32:S32"/>
    <mergeCell ref="T32:W32"/>
    <mergeCell ref="X32:AH32"/>
    <mergeCell ref="AI32:AS32"/>
    <mergeCell ref="H33:P33"/>
    <mergeCell ref="Q33:S33"/>
    <mergeCell ref="T33:W33"/>
    <mergeCell ref="X33:AH33"/>
    <mergeCell ref="AI33:AS33"/>
    <mergeCell ref="H34:P34"/>
    <mergeCell ref="Q34:S34"/>
    <mergeCell ref="T34:W34"/>
    <mergeCell ref="X34:AH34"/>
    <mergeCell ref="AI34:AS34"/>
    <mergeCell ref="H35:P35"/>
    <mergeCell ref="Q35:S35"/>
    <mergeCell ref="T35:W35"/>
    <mergeCell ref="X35:AH35"/>
    <mergeCell ref="AI35:AS35"/>
    <mergeCell ref="H36:P36"/>
    <mergeCell ref="Q36:S36"/>
    <mergeCell ref="T36:W36"/>
    <mergeCell ref="X36:AH36"/>
    <mergeCell ref="AI36:AS36"/>
    <mergeCell ref="H37:P37"/>
    <mergeCell ref="Q37:S37"/>
    <mergeCell ref="T37:W37"/>
    <mergeCell ref="X37:AH37"/>
    <mergeCell ref="AI37:AS37"/>
    <mergeCell ref="H38:P38"/>
    <mergeCell ref="Q38:S38"/>
    <mergeCell ref="T38:W38"/>
    <mergeCell ref="X38:AH38"/>
    <mergeCell ref="AI38:AS38"/>
    <mergeCell ref="H39:P39"/>
    <mergeCell ref="Q39:S39"/>
    <mergeCell ref="T39:W39"/>
    <mergeCell ref="X39:AH39"/>
    <mergeCell ref="AI39:AS39"/>
    <mergeCell ref="H40:P40"/>
    <mergeCell ref="Q40:S40"/>
    <mergeCell ref="T40:W40"/>
    <mergeCell ref="X40:AH40"/>
    <mergeCell ref="AI40:AS40"/>
    <mergeCell ref="H41:P41"/>
    <mergeCell ref="Q41:S41"/>
    <mergeCell ref="T41:W41"/>
    <mergeCell ref="X41:AH41"/>
    <mergeCell ref="AI41:AS41"/>
    <mergeCell ref="H42:P42"/>
    <mergeCell ref="Q42:S42"/>
    <mergeCell ref="T42:W42"/>
    <mergeCell ref="X42:AH42"/>
    <mergeCell ref="AI42:AS42"/>
    <mergeCell ref="H43:P43"/>
    <mergeCell ref="Q43:S43"/>
    <mergeCell ref="T43:W43"/>
    <mergeCell ref="X43:AH43"/>
    <mergeCell ref="AI43:AS43"/>
    <mergeCell ref="H44:P44"/>
    <mergeCell ref="Q44:S44"/>
    <mergeCell ref="T44:W44"/>
    <mergeCell ref="X44:AH44"/>
    <mergeCell ref="AI44:AS44"/>
    <mergeCell ref="H45:P45"/>
    <mergeCell ref="Q45:S45"/>
    <mergeCell ref="T45:W45"/>
    <mergeCell ref="X45:AH45"/>
    <mergeCell ref="AI45:AS45"/>
    <mergeCell ref="H46:P46"/>
    <mergeCell ref="Q46:S46"/>
    <mergeCell ref="T46:W46"/>
    <mergeCell ref="X46:AH46"/>
    <mergeCell ref="AI46:AS46"/>
    <mergeCell ref="H47:P47"/>
    <mergeCell ref="Q47:S47"/>
    <mergeCell ref="T47:W47"/>
    <mergeCell ref="X47:AH47"/>
    <mergeCell ref="AI47:AS47"/>
    <mergeCell ref="H48:P48"/>
    <mergeCell ref="Q48:S48"/>
    <mergeCell ref="T48:W48"/>
    <mergeCell ref="X48:AH48"/>
    <mergeCell ref="AI48:AS48"/>
    <mergeCell ref="H49:P49"/>
    <mergeCell ref="Q49:S49"/>
    <mergeCell ref="T49:W49"/>
    <mergeCell ref="X49:AH49"/>
    <mergeCell ref="AI49:AS49"/>
    <mergeCell ref="H50:P50"/>
    <mergeCell ref="Q50:S50"/>
    <mergeCell ref="T50:W50"/>
    <mergeCell ref="X50:AH50"/>
    <mergeCell ref="AI50:AS50"/>
    <mergeCell ref="H51:P51"/>
    <mergeCell ref="Q51:S51"/>
    <mergeCell ref="T51:W51"/>
    <mergeCell ref="X51:AH51"/>
    <mergeCell ref="AI51:AS51"/>
    <mergeCell ref="H52:P52"/>
    <mergeCell ref="Q52:S52"/>
    <mergeCell ref="T52:W52"/>
    <mergeCell ref="X52:AH52"/>
    <mergeCell ref="AI52:AS52"/>
    <mergeCell ref="H53:P53"/>
    <mergeCell ref="Q53:S53"/>
    <mergeCell ref="T53:W53"/>
    <mergeCell ref="X53:AH53"/>
    <mergeCell ref="AI53:AS53"/>
    <mergeCell ref="H54:P54"/>
    <mergeCell ref="Q54:S54"/>
    <mergeCell ref="T54:W54"/>
    <mergeCell ref="X54:AH54"/>
    <mergeCell ref="AI54:AS54"/>
    <mergeCell ref="H55:P55"/>
    <mergeCell ref="Q55:S55"/>
    <mergeCell ref="T55:W55"/>
    <mergeCell ref="X55:AH55"/>
    <mergeCell ref="AI55:AS55"/>
    <mergeCell ref="H56:P56"/>
    <mergeCell ref="Q56:S56"/>
    <mergeCell ref="T56:W56"/>
    <mergeCell ref="X56:AH56"/>
    <mergeCell ref="AI56:AS56"/>
    <mergeCell ref="H57:P57"/>
    <mergeCell ref="Q57:S57"/>
    <mergeCell ref="T57:W57"/>
    <mergeCell ref="X57:AH57"/>
    <mergeCell ref="AI57:AS57"/>
    <mergeCell ref="H58:P58"/>
    <mergeCell ref="Q58:S58"/>
    <mergeCell ref="T58:W58"/>
    <mergeCell ref="X58:AH58"/>
    <mergeCell ref="AI58:AS58"/>
    <mergeCell ref="H59:P59"/>
    <mergeCell ref="Q59:S59"/>
    <mergeCell ref="T59:W59"/>
    <mergeCell ref="X59:AH59"/>
    <mergeCell ref="AI59:AS59"/>
    <mergeCell ref="H60:P60"/>
    <mergeCell ref="Q60:S60"/>
    <mergeCell ref="T60:W60"/>
    <mergeCell ref="X60:AH60"/>
    <mergeCell ref="AI60:AS60"/>
    <mergeCell ref="H61:P61"/>
    <mergeCell ref="Q61:S61"/>
    <mergeCell ref="T61:W61"/>
    <mergeCell ref="X61:AH61"/>
    <mergeCell ref="AI61:AS61"/>
    <mergeCell ref="H62:P62"/>
    <mergeCell ref="Q62:S62"/>
    <mergeCell ref="T62:W62"/>
    <mergeCell ref="X62:AH62"/>
    <mergeCell ref="AI62:AS62"/>
    <mergeCell ref="H63:P63"/>
    <mergeCell ref="Q63:S63"/>
    <mergeCell ref="T63:W63"/>
    <mergeCell ref="X63:AH63"/>
    <mergeCell ref="AI63:AS63"/>
    <mergeCell ref="H64:P64"/>
    <mergeCell ref="Q64:S64"/>
    <mergeCell ref="T64:W64"/>
    <mergeCell ref="X64:AH64"/>
    <mergeCell ref="AI64:AS64"/>
    <mergeCell ref="H65:P65"/>
    <mergeCell ref="Q65:S65"/>
    <mergeCell ref="T65:W65"/>
    <mergeCell ref="X65:AH65"/>
    <mergeCell ref="AI65:AS65"/>
    <mergeCell ref="H66:P66"/>
    <mergeCell ref="Q66:S66"/>
    <mergeCell ref="T66:W66"/>
    <mergeCell ref="X66:AH66"/>
    <mergeCell ref="AI66:AS66"/>
    <mergeCell ref="H67:P67"/>
    <mergeCell ref="Q67:S67"/>
    <mergeCell ref="T67:W67"/>
    <mergeCell ref="X67:AH67"/>
    <mergeCell ref="AI67:AS67"/>
    <mergeCell ref="H68:P68"/>
    <mergeCell ref="Q68:S68"/>
    <mergeCell ref="T68:W68"/>
    <mergeCell ref="X68:AH68"/>
    <mergeCell ref="AI68:AS68"/>
    <mergeCell ref="H69:P69"/>
    <mergeCell ref="Q69:S69"/>
    <mergeCell ref="T69:W69"/>
    <mergeCell ref="X69:AH69"/>
    <mergeCell ref="AI69:AS69"/>
    <mergeCell ref="H70:P70"/>
    <mergeCell ref="Q70:S70"/>
    <mergeCell ref="T70:W70"/>
    <mergeCell ref="X70:AH70"/>
    <mergeCell ref="AI70:AS70"/>
    <mergeCell ref="H71:P71"/>
    <mergeCell ref="Q71:S71"/>
    <mergeCell ref="T71:W71"/>
    <mergeCell ref="X71:AH71"/>
    <mergeCell ref="AI71:AS71"/>
    <mergeCell ref="H72:P72"/>
    <mergeCell ref="Q72:S72"/>
    <mergeCell ref="T72:W72"/>
    <mergeCell ref="X72:AH72"/>
    <mergeCell ref="AI72:AS72"/>
    <mergeCell ref="H73:P73"/>
    <mergeCell ref="Q73:S73"/>
    <mergeCell ref="T73:W73"/>
    <mergeCell ref="X73:AH73"/>
    <mergeCell ref="AI73:AS73"/>
    <mergeCell ref="H74:P74"/>
    <mergeCell ref="Q74:S74"/>
    <mergeCell ref="T74:W74"/>
    <mergeCell ref="X74:AH74"/>
    <mergeCell ref="AI74:AS74"/>
    <mergeCell ref="H75:P75"/>
    <mergeCell ref="Q75:S75"/>
    <mergeCell ref="T75:W75"/>
    <mergeCell ref="X75:AH75"/>
    <mergeCell ref="AI75:AS75"/>
    <mergeCell ref="H76:P76"/>
    <mergeCell ref="Q76:S76"/>
    <mergeCell ref="T76:W76"/>
    <mergeCell ref="X76:AH76"/>
    <mergeCell ref="AI76:AS76"/>
    <mergeCell ref="H77:P77"/>
    <mergeCell ref="Q77:S77"/>
    <mergeCell ref="T77:W77"/>
    <mergeCell ref="X77:AH77"/>
    <mergeCell ref="AI77:AS77"/>
    <mergeCell ref="H78:P78"/>
    <mergeCell ref="Q78:S78"/>
    <mergeCell ref="T78:W78"/>
    <mergeCell ref="X78:AH78"/>
    <mergeCell ref="AI78:AS78"/>
    <mergeCell ref="H79:P79"/>
    <mergeCell ref="Q79:S79"/>
    <mergeCell ref="T79:W79"/>
    <mergeCell ref="X79:AH79"/>
    <mergeCell ref="AI79:AS79"/>
    <mergeCell ref="H80:P80"/>
    <mergeCell ref="Q80:S80"/>
    <mergeCell ref="T80:W80"/>
    <mergeCell ref="X80:AH80"/>
    <mergeCell ref="AI80:AS80"/>
    <mergeCell ref="B28:G33"/>
    <mergeCell ref="B34:G39"/>
    <mergeCell ref="B40:G45"/>
    <mergeCell ref="B46:G52"/>
    <mergeCell ref="B53:G55"/>
    <mergeCell ref="B56:G64"/>
    <mergeCell ref="B65:G69"/>
    <mergeCell ref="B70:G74"/>
    <mergeCell ref="B75:G77"/>
    <mergeCell ref="B78:G80"/>
    <mergeCell ref="A85:AL90"/>
    <mergeCell ref="A95:AL100"/>
  </mergeCells>
  <pageMargins left="0.75" right="0.75" top="1" bottom="1" header="0.510416666666667" footer="0.510416666666667"/>
  <pageSetup paperSize="9"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32"/>
  <sheetViews>
    <sheetView tabSelected="1" workbookViewId="0">
      <selection activeCell="A1" sqref="A1"/>
    </sheetView>
  </sheetViews>
  <sheetFormatPr defaultColWidth="9" defaultRowHeight="12.75"/>
  <cols>
    <col min="1" max="1" width="3.3" style="1"/>
    <col min="2" max="2" width="7.6" style="1"/>
    <col min="3" max="3" width="13.5933333333333" style="1"/>
    <col min="4" max="4" width="15.4066666666667" style="1"/>
    <col min="5" max="5" width="9.1" style="1"/>
    <col min="6" max="6" width="6.1" style="1"/>
    <col min="7" max="7" width="36.7" style="2"/>
    <col min="8" max="8" width="9.3" style="1"/>
    <col min="9" max="9" width="7.1" style="1" customWidth="1"/>
    <col min="10" max="10" width="9.3" style="1"/>
    <col min="11" max="11" width="7" style="1"/>
    <col min="12" max="12" width="8.69333333333333" style="1"/>
    <col min="13" max="13" width="39.6933333333333" style="1"/>
    <col min="14" max="1026" width="2.7" style="1"/>
    <col min="1027" max="16384" width="9" style="1"/>
  </cols>
  <sheetData>
    <row r="1" spans="1:13">
      <c r="A1" s="3" t="s">
        <v>124</v>
      </c>
      <c r="B1" s="4" t="s">
        <v>125</v>
      </c>
      <c r="C1" s="5" t="s">
        <v>126</v>
      </c>
      <c r="D1" s="6" t="s">
        <v>127</v>
      </c>
      <c r="E1" s="6" t="s">
        <v>23</v>
      </c>
      <c r="F1" s="6" t="s">
        <v>128</v>
      </c>
      <c r="G1" s="13" t="s">
        <v>129</v>
      </c>
      <c r="H1" s="13" t="s">
        <v>130</v>
      </c>
      <c r="I1" s="13" t="s">
        <v>131</v>
      </c>
      <c r="J1" s="13" t="s">
        <v>132</v>
      </c>
      <c r="K1" s="22" t="s">
        <v>133</v>
      </c>
      <c r="L1" s="6" t="s">
        <v>134</v>
      </c>
      <c r="M1" s="30" t="s">
        <v>135</v>
      </c>
    </row>
    <row r="2" ht="25.5" spans="1:13">
      <c r="A2" s="7">
        <v>1</v>
      </c>
      <c r="B2" s="8" t="s">
        <v>49</v>
      </c>
      <c r="C2" s="9" t="s">
        <v>81</v>
      </c>
      <c r="D2" s="10" t="s">
        <v>136</v>
      </c>
      <c r="E2" s="10" t="s">
        <v>86</v>
      </c>
      <c r="F2" s="14">
        <v>3</v>
      </c>
      <c r="G2" s="15" t="s">
        <v>137</v>
      </c>
      <c r="H2" s="16">
        <v>42629</v>
      </c>
      <c r="I2" s="23" t="s">
        <v>49</v>
      </c>
      <c r="J2" s="24">
        <v>6</v>
      </c>
      <c r="K2" s="25" t="s">
        <v>138</v>
      </c>
      <c r="L2" s="25" t="s">
        <v>139</v>
      </c>
      <c r="M2" s="25" t="s">
        <v>49</v>
      </c>
    </row>
    <row r="3" ht="51" spans="1:13">
      <c r="A3" s="7">
        <v>2</v>
      </c>
      <c r="B3" s="8" t="s">
        <v>49</v>
      </c>
      <c r="C3" s="9" t="s">
        <v>75</v>
      </c>
      <c r="D3" s="10" t="s">
        <v>44</v>
      </c>
      <c r="E3" s="10" t="s">
        <v>76</v>
      </c>
      <c r="F3" s="14">
        <v>4</v>
      </c>
      <c r="G3" s="15" t="s">
        <v>140</v>
      </c>
      <c r="H3" s="17">
        <v>42605</v>
      </c>
      <c r="I3" s="26">
        <v>8</v>
      </c>
      <c r="J3" s="24">
        <v>5</v>
      </c>
      <c r="K3" s="19" t="s">
        <v>141</v>
      </c>
      <c r="L3" s="19" t="s">
        <v>142</v>
      </c>
      <c r="M3" s="19" t="s">
        <v>143</v>
      </c>
    </row>
    <row r="4" ht="25.5" spans="1:13">
      <c r="A4" s="7">
        <v>3</v>
      </c>
      <c r="B4" s="8" t="s">
        <v>49</v>
      </c>
      <c r="C4" s="9" t="s">
        <v>27</v>
      </c>
      <c r="D4" s="11" t="s">
        <v>44</v>
      </c>
      <c r="E4" s="11" t="s">
        <v>45</v>
      </c>
      <c r="F4" s="18">
        <v>3</v>
      </c>
      <c r="G4" s="15" t="s">
        <v>144</v>
      </c>
      <c r="H4" s="17">
        <v>42593</v>
      </c>
      <c r="I4" s="27">
        <v>8</v>
      </c>
      <c r="J4" s="28">
        <v>6</v>
      </c>
      <c r="K4" s="19" t="s">
        <v>145</v>
      </c>
      <c r="L4" s="19" t="s">
        <v>146</v>
      </c>
      <c r="M4" s="19" t="s">
        <v>49</v>
      </c>
    </row>
    <row r="5" ht="25.5" spans="1:13">
      <c r="A5" s="7">
        <v>4</v>
      </c>
      <c r="B5" s="8" t="s">
        <v>49</v>
      </c>
      <c r="C5" s="12" t="s">
        <v>27</v>
      </c>
      <c r="D5" s="11" t="s">
        <v>34</v>
      </c>
      <c r="E5" s="11" t="s">
        <v>147</v>
      </c>
      <c r="F5" s="18">
        <v>1</v>
      </c>
      <c r="G5" s="15" t="s">
        <v>148</v>
      </c>
      <c r="H5" s="17">
        <v>42592</v>
      </c>
      <c r="I5" s="27">
        <v>1</v>
      </c>
      <c r="J5" s="28">
        <v>1</v>
      </c>
      <c r="K5" s="19" t="s">
        <v>145</v>
      </c>
      <c r="L5" s="19" t="s">
        <v>149</v>
      </c>
      <c r="M5" s="19" t="s">
        <v>49</v>
      </c>
    </row>
    <row r="6" ht="25.5" spans="1:13">
      <c r="A6" s="7">
        <v>5</v>
      </c>
      <c r="B6" s="8" t="s">
        <v>49</v>
      </c>
      <c r="C6" s="12" t="s">
        <v>55</v>
      </c>
      <c r="D6" s="11" t="s">
        <v>40</v>
      </c>
      <c r="E6" s="11" t="s">
        <v>60</v>
      </c>
      <c r="F6" s="18">
        <v>3</v>
      </c>
      <c r="G6" s="15" t="s">
        <v>150</v>
      </c>
      <c r="H6" s="17">
        <v>42590</v>
      </c>
      <c r="I6" s="27">
        <v>4</v>
      </c>
      <c r="J6" s="28">
        <v>3</v>
      </c>
      <c r="K6" s="19" t="s">
        <v>151</v>
      </c>
      <c r="L6" s="19" t="s">
        <v>152</v>
      </c>
      <c r="M6" s="19" t="s">
        <v>49</v>
      </c>
    </row>
    <row r="7" ht="38.25" spans="1:13">
      <c r="A7" s="7">
        <v>6</v>
      </c>
      <c r="B7" s="8" t="s">
        <v>49</v>
      </c>
      <c r="C7" s="12" t="s">
        <v>153</v>
      </c>
      <c r="D7" s="11" t="s">
        <v>154</v>
      </c>
      <c r="E7" s="11" t="s">
        <v>56</v>
      </c>
      <c r="F7" s="18">
        <v>2</v>
      </c>
      <c r="G7" s="15" t="s">
        <v>155</v>
      </c>
      <c r="H7" s="17">
        <v>42590</v>
      </c>
      <c r="I7" s="27">
        <v>2</v>
      </c>
      <c r="J7" s="28">
        <v>1</v>
      </c>
      <c r="K7" s="19" t="s">
        <v>151</v>
      </c>
      <c r="L7" s="19" t="s">
        <v>156</v>
      </c>
      <c r="M7" s="19" t="s">
        <v>49</v>
      </c>
    </row>
    <row r="8" ht="25.5" spans="1:13">
      <c r="A8" s="7">
        <v>7</v>
      </c>
      <c r="B8" s="8" t="s">
        <v>49</v>
      </c>
      <c r="C8" s="12" t="s">
        <v>153</v>
      </c>
      <c r="D8" s="11" t="s">
        <v>157</v>
      </c>
      <c r="E8" s="11" t="s">
        <v>50</v>
      </c>
      <c r="F8" s="18">
        <v>1</v>
      </c>
      <c r="G8" s="15" t="s">
        <v>158</v>
      </c>
      <c r="H8" s="17">
        <v>42587</v>
      </c>
      <c r="I8" s="27">
        <v>8</v>
      </c>
      <c r="J8" s="28">
        <v>6</v>
      </c>
      <c r="K8" s="19" t="s">
        <v>159</v>
      </c>
      <c r="L8" s="19" t="s">
        <v>160</v>
      </c>
      <c r="M8" s="19" t="s">
        <v>49</v>
      </c>
    </row>
    <row r="9" ht="25.5" spans="1:13">
      <c r="A9" s="7">
        <v>8</v>
      </c>
      <c r="B9" s="8" t="s">
        <v>49</v>
      </c>
      <c r="C9" s="12" t="s">
        <v>27</v>
      </c>
      <c r="D9" s="11" t="s">
        <v>157</v>
      </c>
      <c r="E9" s="11" t="s">
        <v>32</v>
      </c>
      <c r="F9" s="18">
        <v>2</v>
      </c>
      <c r="G9" s="15" t="s">
        <v>161</v>
      </c>
      <c r="H9" s="17">
        <v>42587</v>
      </c>
      <c r="I9" s="27">
        <v>2</v>
      </c>
      <c r="J9" s="28">
        <v>2</v>
      </c>
      <c r="K9" s="19" t="s">
        <v>162</v>
      </c>
      <c r="L9" s="19" t="s">
        <v>163</v>
      </c>
      <c r="M9" s="19" t="s">
        <v>164</v>
      </c>
    </row>
    <row r="10" spans="1:13">
      <c r="A10" s="7">
        <v>9</v>
      </c>
      <c r="B10" s="8" t="s">
        <v>49</v>
      </c>
      <c r="C10" s="12" t="s">
        <v>63</v>
      </c>
      <c r="D10" s="11" t="s">
        <v>157</v>
      </c>
      <c r="E10" s="11" t="s">
        <v>66</v>
      </c>
      <c r="F10" s="18">
        <v>3</v>
      </c>
      <c r="G10" s="15" t="s">
        <v>165</v>
      </c>
      <c r="H10" s="17">
        <v>42580</v>
      </c>
      <c r="I10" s="27">
        <v>4</v>
      </c>
      <c r="J10" s="28">
        <v>5</v>
      </c>
      <c r="K10" s="19" t="s">
        <v>166</v>
      </c>
      <c r="L10" s="19" t="s">
        <v>167</v>
      </c>
      <c r="M10" s="19" t="s">
        <v>168</v>
      </c>
    </row>
    <row r="11" ht="25.5" spans="1:13">
      <c r="A11" s="7">
        <v>10</v>
      </c>
      <c r="B11" s="8" t="s">
        <v>49</v>
      </c>
      <c r="C11" s="12" t="s">
        <v>63</v>
      </c>
      <c r="D11" s="11" t="s">
        <v>37</v>
      </c>
      <c r="E11" s="11" t="s">
        <v>69</v>
      </c>
      <c r="F11" s="18">
        <v>2</v>
      </c>
      <c r="G11" s="15" t="s">
        <v>169</v>
      </c>
      <c r="H11" s="17">
        <v>42580</v>
      </c>
      <c r="I11" s="27">
        <v>1</v>
      </c>
      <c r="J11" s="28">
        <v>1</v>
      </c>
      <c r="K11" s="19" t="s">
        <v>166</v>
      </c>
      <c r="L11" s="19" t="s">
        <v>170</v>
      </c>
      <c r="M11" s="19" t="s">
        <v>49</v>
      </c>
    </row>
    <row r="12" ht="25.5" spans="1:13">
      <c r="A12" s="7">
        <v>11</v>
      </c>
      <c r="B12" s="8" t="s">
        <v>49</v>
      </c>
      <c r="C12" s="12" t="s">
        <v>63</v>
      </c>
      <c r="D12" s="11" t="s">
        <v>157</v>
      </c>
      <c r="E12" s="11" t="s">
        <v>66</v>
      </c>
      <c r="F12" s="18">
        <v>1</v>
      </c>
      <c r="G12" s="15" t="s">
        <v>171</v>
      </c>
      <c r="H12" s="17">
        <v>42573</v>
      </c>
      <c r="I12" s="27">
        <v>1</v>
      </c>
      <c r="J12" s="28">
        <v>1</v>
      </c>
      <c r="K12" s="19" t="s">
        <v>141</v>
      </c>
      <c r="L12" s="19" t="s">
        <v>172</v>
      </c>
      <c r="M12" s="19" t="s">
        <v>49</v>
      </c>
    </row>
    <row r="13" spans="1:13">
      <c r="A13" s="7">
        <v>12</v>
      </c>
      <c r="B13" s="8" t="s">
        <v>49</v>
      </c>
      <c r="C13" s="12" t="s">
        <v>27</v>
      </c>
      <c r="D13" s="11" t="s">
        <v>34</v>
      </c>
      <c r="E13" s="11" t="s">
        <v>147</v>
      </c>
      <c r="F13" s="18">
        <v>3</v>
      </c>
      <c r="G13" s="15" t="s">
        <v>173</v>
      </c>
      <c r="H13" s="17">
        <v>42566</v>
      </c>
      <c r="I13" s="27">
        <v>1</v>
      </c>
      <c r="J13" s="28">
        <v>3</v>
      </c>
      <c r="K13" s="19" t="s">
        <v>174</v>
      </c>
      <c r="L13" s="19" t="s">
        <v>175</v>
      </c>
      <c r="M13" s="19" t="s">
        <v>49</v>
      </c>
    </row>
    <row r="14" spans="1:13">
      <c r="A14" s="7">
        <v>13</v>
      </c>
      <c r="B14" s="8" t="s">
        <v>49</v>
      </c>
      <c r="C14" s="12" t="s">
        <v>27</v>
      </c>
      <c r="D14" s="11" t="s">
        <v>157</v>
      </c>
      <c r="E14" s="11" t="s">
        <v>32</v>
      </c>
      <c r="F14" s="18">
        <v>2</v>
      </c>
      <c r="G14" s="15" t="s">
        <v>176</v>
      </c>
      <c r="H14" s="17">
        <v>42559</v>
      </c>
      <c r="I14" s="27">
        <v>4</v>
      </c>
      <c r="J14" s="28">
        <v>5</v>
      </c>
      <c r="K14" s="19" t="s">
        <v>177</v>
      </c>
      <c r="L14" s="19" t="s">
        <v>178</v>
      </c>
      <c r="M14" s="19" t="s">
        <v>49</v>
      </c>
    </row>
    <row r="15" ht="33" customHeight="1" spans="1:13">
      <c r="A15" s="7">
        <v>14</v>
      </c>
      <c r="B15" s="8" t="s">
        <v>49</v>
      </c>
      <c r="C15" s="12" t="s">
        <v>55</v>
      </c>
      <c r="D15" s="11" t="s">
        <v>28</v>
      </c>
      <c r="E15" s="11" t="s">
        <v>56</v>
      </c>
      <c r="F15" s="18">
        <v>3</v>
      </c>
      <c r="G15" s="15" t="s">
        <v>179</v>
      </c>
      <c r="H15" s="17">
        <v>42559</v>
      </c>
      <c r="I15" s="27" t="s">
        <v>49</v>
      </c>
      <c r="J15" s="28">
        <v>3</v>
      </c>
      <c r="K15" s="19" t="s">
        <v>177</v>
      </c>
      <c r="L15" s="19" t="s">
        <v>180</v>
      </c>
      <c r="M15" s="19" t="s">
        <v>49</v>
      </c>
    </row>
    <row r="16" ht="35" customHeight="1" spans="1:13">
      <c r="A16" s="7">
        <v>15</v>
      </c>
      <c r="B16" s="8" t="s">
        <v>49</v>
      </c>
      <c r="C16" s="12" t="s">
        <v>63</v>
      </c>
      <c r="D16" s="11" t="s">
        <v>28</v>
      </c>
      <c r="E16" s="11" t="s">
        <v>64</v>
      </c>
      <c r="F16" s="18">
        <v>2</v>
      </c>
      <c r="G16" s="15" t="s">
        <v>181</v>
      </c>
      <c r="H16" s="17">
        <v>42559</v>
      </c>
      <c r="I16" s="27">
        <v>1</v>
      </c>
      <c r="J16" s="28">
        <v>1</v>
      </c>
      <c r="K16" s="19" t="s">
        <v>177</v>
      </c>
      <c r="L16" s="19" t="s">
        <v>182</v>
      </c>
      <c r="M16" s="19" t="s">
        <v>49</v>
      </c>
    </row>
    <row r="17" ht="33" customHeight="1" spans="1:13">
      <c r="A17" s="7">
        <v>16</v>
      </c>
      <c r="B17" s="8" t="s">
        <v>49</v>
      </c>
      <c r="C17" s="12" t="s">
        <v>81</v>
      </c>
      <c r="D17" s="11" t="s">
        <v>55</v>
      </c>
      <c r="E17" s="11" t="s">
        <v>84</v>
      </c>
      <c r="F17" s="18">
        <v>3</v>
      </c>
      <c r="G17" s="15" t="s">
        <v>183</v>
      </c>
      <c r="H17" s="17">
        <v>42557</v>
      </c>
      <c r="I17" s="27">
        <v>8</v>
      </c>
      <c r="J17" s="28">
        <v>7</v>
      </c>
      <c r="K17" s="19" t="s">
        <v>184</v>
      </c>
      <c r="L17" s="19" t="s">
        <v>185</v>
      </c>
      <c r="M17" s="19" t="s">
        <v>186</v>
      </c>
    </row>
    <row r="18" ht="33" customHeight="1" spans="1:13">
      <c r="A18" s="7">
        <v>17</v>
      </c>
      <c r="B18" s="8" t="s">
        <v>49</v>
      </c>
      <c r="C18" s="12" t="s">
        <v>27</v>
      </c>
      <c r="D18" s="11" t="s">
        <v>157</v>
      </c>
      <c r="E18" s="11" t="s">
        <v>32</v>
      </c>
      <c r="F18" s="18">
        <v>2</v>
      </c>
      <c r="G18" s="15" t="s">
        <v>187</v>
      </c>
      <c r="H18" s="17">
        <v>42555</v>
      </c>
      <c r="I18" s="27">
        <v>2</v>
      </c>
      <c r="J18" s="28">
        <v>2</v>
      </c>
      <c r="K18" s="19" t="s">
        <v>188</v>
      </c>
      <c r="L18" s="19" t="s">
        <v>189</v>
      </c>
      <c r="M18" s="19" t="s">
        <v>49</v>
      </c>
    </row>
    <row r="19" ht="48" customHeight="1" spans="1:13">
      <c r="A19" s="7">
        <v>18</v>
      </c>
      <c r="B19" s="8" t="s">
        <v>49</v>
      </c>
      <c r="C19" s="12" t="s">
        <v>27</v>
      </c>
      <c r="D19" s="11" t="s">
        <v>44</v>
      </c>
      <c r="E19" s="11" t="s">
        <v>45</v>
      </c>
      <c r="F19" s="18">
        <v>2</v>
      </c>
      <c r="G19" s="19" t="s">
        <v>190</v>
      </c>
      <c r="H19" s="17">
        <v>42545</v>
      </c>
      <c r="I19" s="27">
        <v>4</v>
      </c>
      <c r="J19" s="28">
        <v>3</v>
      </c>
      <c r="K19" s="19" t="s">
        <v>191</v>
      </c>
      <c r="L19" s="19" t="s">
        <v>192</v>
      </c>
      <c r="M19" s="19" t="s">
        <v>49</v>
      </c>
    </row>
    <row r="20" ht="25.5" spans="1:13">
      <c r="A20" s="7">
        <v>19</v>
      </c>
      <c r="B20" s="8" t="s">
        <v>49</v>
      </c>
      <c r="C20" s="12" t="s">
        <v>193</v>
      </c>
      <c r="D20" s="11" t="s">
        <v>113</v>
      </c>
      <c r="E20" s="11" t="s">
        <v>114</v>
      </c>
      <c r="F20" s="18">
        <v>4</v>
      </c>
      <c r="G20" s="19" t="s">
        <v>194</v>
      </c>
      <c r="H20" s="17">
        <v>42545</v>
      </c>
      <c r="I20" s="27"/>
      <c r="J20" s="28">
        <v>8</v>
      </c>
      <c r="K20" s="19" t="s">
        <v>195</v>
      </c>
      <c r="L20" s="19" t="s">
        <v>196</v>
      </c>
      <c r="M20" s="19" t="s">
        <v>197</v>
      </c>
    </row>
    <row r="21" spans="1:13">
      <c r="A21" s="7">
        <v>20</v>
      </c>
      <c r="B21" s="8" t="s">
        <v>49</v>
      </c>
      <c r="C21" s="12" t="s">
        <v>27</v>
      </c>
      <c r="D21" s="11" t="s">
        <v>44</v>
      </c>
      <c r="E21" s="11" t="s">
        <v>45</v>
      </c>
      <c r="F21" s="18">
        <v>2</v>
      </c>
      <c r="G21" s="20" t="s">
        <v>198</v>
      </c>
      <c r="H21" s="21">
        <v>42544</v>
      </c>
      <c r="I21" s="29">
        <v>4</v>
      </c>
      <c r="J21" s="28">
        <v>3</v>
      </c>
      <c r="K21" s="20" t="s">
        <v>191</v>
      </c>
      <c r="L21" s="20" t="s">
        <v>192</v>
      </c>
      <c r="M21" s="20" t="s">
        <v>199</v>
      </c>
    </row>
    <row r="22" spans="1:13">
      <c r="A22" s="7">
        <v>21</v>
      </c>
      <c r="B22" s="8" t="s">
        <v>49</v>
      </c>
      <c r="C22" s="12" t="s">
        <v>27</v>
      </c>
      <c r="D22" s="11" t="s">
        <v>40</v>
      </c>
      <c r="E22" s="11" t="s">
        <v>41</v>
      </c>
      <c r="F22" s="18">
        <v>2</v>
      </c>
      <c r="G22" s="19" t="s">
        <v>200</v>
      </c>
      <c r="H22" s="17">
        <v>42538</v>
      </c>
      <c r="I22" s="27">
        <v>4</v>
      </c>
      <c r="J22" s="28">
        <v>4</v>
      </c>
      <c r="K22" s="19" t="s">
        <v>191</v>
      </c>
      <c r="L22" s="19" t="s">
        <v>201</v>
      </c>
      <c r="M22" s="19" t="s">
        <v>49</v>
      </c>
    </row>
    <row r="23" spans="1:13">
      <c r="A23" s="7">
        <v>22</v>
      </c>
      <c r="B23" s="8" t="s">
        <v>49</v>
      </c>
      <c r="C23" s="12" t="s">
        <v>27</v>
      </c>
      <c r="D23" s="11" t="s">
        <v>34</v>
      </c>
      <c r="E23" s="11" t="s">
        <v>35</v>
      </c>
      <c r="F23" s="18">
        <v>2</v>
      </c>
      <c r="G23" s="19" t="s">
        <v>202</v>
      </c>
      <c r="H23" s="17" t="s">
        <v>49</v>
      </c>
      <c r="I23" s="27" t="s">
        <v>49</v>
      </c>
      <c r="J23" s="28">
        <v>4</v>
      </c>
      <c r="K23" s="19" t="s">
        <v>49</v>
      </c>
      <c r="L23" s="19" t="s">
        <v>49</v>
      </c>
      <c r="M23" s="19" t="s">
        <v>49</v>
      </c>
    </row>
    <row r="24" spans="1:13">
      <c r="A24" s="7">
        <v>23</v>
      </c>
      <c r="B24" s="8" t="s">
        <v>49</v>
      </c>
      <c r="C24" s="12" t="s">
        <v>27</v>
      </c>
      <c r="D24" s="11" t="s">
        <v>157</v>
      </c>
      <c r="E24" s="11" t="s">
        <v>32</v>
      </c>
      <c r="F24" s="18">
        <v>2</v>
      </c>
      <c r="G24" s="19" t="s">
        <v>203</v>
      </c>
      <c r="H24" s="17" t="s">
        <v>49</v>
      </c>
      <c r="I24" s="27" t="s">
        <v>49</v>
      </c>
      <c r="J24" s="28">
        <v>4</v>
      </c>
      <c r="K24" s="19" t="s">
        <v>49</v>
      </c>
      <c r="L24" s="19" t="s">
        <v>49</v>
      </c>
      <c r="M24" s="19" t="s">
        <v>49</v>
      </c>
    </row>
    <row r="25" ht="51" spans="1:13">
      <c r="A25" s="7">
        <v>24</v>
      </c>
      <c r="B25" s="8" t="s">
        <v>49</v>
      </c>
      <c r="C25" s="12" t="s">
        <v>27</v>
      </c>
      <c r="D25" s="11" t="s">
        <v>44</v>
      </c>
      <c r="E25" s="11" t="s">
        <v>45</v>
      </c>
      <c r="F25" s="18">
        <v>2</v>
      </c>
      <c r="G25" s="19" t="s">
        <v>204</v>
      </c>
      <c r="H25" s="17" t="s">
        <v>49</v>
      </c>
      <c r="I25" s="27">
        <v>2</v>
      </c>
      <c r="J25" s="28">
        <v>4</v>
      </c>
      <c r="K25" s="19" t="s">
        <v>191</v>
      </c>
      <c r="L25" s="19" t="s">
        <v>205</v>
      </c>
      <c r="M25" s="19" t="s">
        <v>206</v>
      </c>
    </row>
    <row r="26" ht="25.5" spans="1:13">
      <c r="A26" s="7">
        <v>25</v>
      </c>
      <c r="B26" s="8" t="s">
        <v>49</v>
      </c>
      <c r="C26" s="12" t="s">
        <v>27</v>
      </c>
      <c r="D26" s="11" t="s">
        <v>157</v>
      </c>
      <c r="E26" s="11" t="s">
        <v>32</v>
      </c>
      <c r="F26" s="18">
        <v>2</v>
      </c>
      <c r="G26" s="19" t="s">
        <v>207</v>
      </c>
      <c r="H26" s="17" t="s">
        <v>49</v>
      </c>
      <c r="I26" s="27">
        <v>2</v>
      </c>
      <c r="J26" s="28">
        <v>2</v>
      </c>
      <c r="K26" s="19" t="s">
        <v>191</v>
      </c>
      <c r="L26" s="19" t="s">
        <v>208</v>
      </c>
      <c r="M26" s="19" t="s">
        <v>49</v>
      </c>
    </row>
    <row r="27" ht="25.5" spans="1:13">
      <c r="A27" s="7">
        <v>26</v>
      </c>
      <c r="B27" s="8" t="s">
        <v>49</v>
      </c>
      <c r="C27" s="12" t="s">
        <v>27</v>
      </c>
      <c r="D27" s="11" t="s">
        <v>28</v>
      </c>
      <c r="E27" s="11" t="s">
        <v>29</v>
      </c>
      <c r="F27" s="18">
        <v>2</v>
      </c>
      <c r="G27" s="19" t="s">
        <v>209</v>
      </c>
      <c r="H27" s="17" t="s">
        <v>49</v>
      </c>
      <c r="I27" s="27">
        <v>2</v>
      </c>
      <c r="J27" s="28">
        <v>5</v>
      </c>
      <c r="K27" s="19" t="s">
        <v>191</v>
      </c>
      <c r="L27" s="19" t="s">
        <v>210</v>
      </c>
      <c r="M27" s="19" t="s">
        <v>49</v>
      </c>
    </row>
    <row r="28" ht="38" customHeight="1" spans="1:13">
      <c r="A28" s="7">
        <v>27</v>
      </c>
      <c r="B28" s="8" t="s">
        <v>49</v>
      </c>
      <c r="C28" s="12" t="s">
        <v>27</v>
      </c>
      <c r="D28" s="11" t="s">
        <v>40</v>
      </c>
      <c r="E28" s="11" t="s">
        <v>41</v>
      </c>
      <c r="F28" s="18">
        <v>4</v>
      </c>
      <c r="G28" s="19" t="s">
        <v>211</v>
      </c>
      <c r="H28" s="17" t="s">
        <v>49</v>
      </c>
      <c r="I28" s="27">
        <v>4</v>
      </c>
      <c r="J28" s="28">
        <v>7</v>
      </c>
      <c r="K28" s="19" t="s">
        <v>191</v>
      </c>
      <c r="L28" s="19" t="s">
        <v>201</v>
      </c>
      <c r="M28" s="19" t="s">
        <v>49</v>
      </c>
    </row>
    <row r="29" ht="37" customHeight="1" spans="1:13">
      <c r="A29" s="7">
        <v>28</v>
      </c>
      <c r="B29" s="8" t="s">
        <v>49</v>
      </c>
      <c r="C29" s="12" t="s">
        <v>27</v>
      </c>
      <c r="D29" s="11" t="s">
        <v>34</v>
      </c>
      <c r="E29" s="11" t="s">
        <v>147</v>
      </c>
      <c r="F29" s="18">
        <v>4</v>
      </c>
      <c r="G29" s="19" t="s">
        <v>212</v>
      </c>
      <c r="H29" s="17" t="s">
        <v>49</v>
      </c>
      <c r="I29" s="27">
        <v>4</v>
      </c>
      <c r="J29" s="28">
        <v>6</v>
      </c>
      <c r="K29" s="19" t="s">
        <v>191</v>
      </c>
      <c r="L29" s="19" t="s">
        <v>213</v>
      </c>
      <c r="M29" s="19" t="s">
        <v>49</v>
      </c>
    </row>
    <row r="30" ht="38" customHeight="1" spans="1:13">
      <c r="A30" s="7">
        <v>29</v>
      </c>
      <c r="B30" s="8" t="s">
        <v>49</v>
      </c>
      <c r="C30" s="12" t="s">
        <v>27</v>
      </c>
      <c r="D30" s="11" t="s">
        <v>28</v>
      </c>
      <c r="E30" s="11" t="s">
        <v>29</v>
      </c>
      <c r="F30" s="18">
        <v>2</v>
      </c>
      <c r="G30" s="19" t="s">
        <v>214</v>
      </c>
      <c r="H30" s="17" t="s">
        <v>49</v>
      </c>
      <c r="I30" s="27" t="s">
        <v>49</v>
      </c>
      <c r="J30" s="28">
        <v>8</v>
      </c>
      <c r="K30" s="19" t="s">
        <v>215</v>
      </c>
      <c r="L30" s="19" t="s">
        <v>216</v>
      </c>
      <c r="M30" s="19" t="s">
        <v>49</v>
      </c>
    </row>
    <row r="31" ht="37" customHeight="1" spans="1:13">
      <c r="A31" s="7">
        <v>30</v>
      </c>
      <c r="B31" s="8" t="s">
        <v>49</v>
      </c>
      <c r="C31" s="12" t="s">
        <v>94</v>
      </c>
      <c r="D31" s="11" t="s">
        <v>157</v>
      </c>
      <c r="E31" s="11" t="s">
        <v>99</v>
      </c>
      <c r="F31" s="18">
        <v>1</v>
      </c>
      <c r="G31" s="19" t="s">
        <v>217</v>
      </c>
      <c r="H31" s="17" t="s">
        <v>49</v>
      </c>
      <c r="I31" s="27" t="s">
        <v>49</v>
      </c>
      <c r="J31" s="28">
        <v>8</v>
      </c>
      <c r="K31" s="19" t="s">
        <v>218</v>
      </c>
      <c r="L31" s="19" t="s">
        <v>219</v>
      </c>
      <c r="M31" s="19" t="s">
        <v>220</v>
      </c>
    </row>
    <row r="32" ht="22" customHeight="1" spans="1:13">
      <c r="A32" s="7">
        <v>31</v>
      </c>
      <c r="B32" s="8" t="s">
        <v>49</v>
      </c>
      <c r="C32" s="12" t="s">
        <v>27</v>
      </c>
      <c r="D32" s="11" t="s">
        <v>37</v>
      </c>
      <c r="E32" s="11" t="s">
        <v>35</v>
      </c>
      <c r="F32" s="18">
        <v>2</v>
      </c>
      <c r="G32" s="19" t="s">
        <v>221</v>
      </c>
      <c r="H32" s="17" t="s">
        <v>49</v>
      </c>
      <c r="I32" s="27" t="s">
        <v>49</v>
      </c>
      <c r="J32" s="28">
        <v>8</v>
      </c>
      <c r="K32" s="19" t="s">
        <v>49</v>
      </c>
      <c r="L32" s="19" t="s">
        <v>49</v>
      </c>
      <c r="M32" s="19" t="s">
        <v>49</v>
      </c>
    </row>
  </sheetData>
  <pageMargins left="0.75" right="0.75" top="1" bottom="1" header="0.510416666666667" footer="0.510416666666667"/>
  <pageSetup paperSize="9" firstPageNumber="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WPS Office Community</Application>
  <HeadingPairs>
    <vt:vector size="2" baseType="variant">
      <vt:variant>
        <vt:lpstr>工作表</vt:lpstr>
      </vt:variant>
      <vt:variant>
        <vt:i4>2</vt:i4>
      </vt:variant>
    </vt:vector>
  </HeadingPairs>
  <TitlesOfParts>
    <vt:vector size="2" baseType="lpstr">
      <vt:lpstr>評価レポート</vt:lpstr>
      <vt:lpstr>改修詳細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hirosige</dc:creator>
  <cp:revision>0</cp:revision>
  <dcterms:created xsi:type="dcterms:W3CDTF">2016-10-31T04:11:00Z</dcterms:created>
  <dcterms:modified xsi:type="dcterms:W3CDTF">2016-11-28T12:18:57Z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1033-10.1.0.5672</vt:lpwstr>
  </property>
</Properties>
</file>